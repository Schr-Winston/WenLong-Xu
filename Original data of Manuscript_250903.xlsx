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K:\The fifth Paper\Reback250728\DATA\"/>
    </mc:Choice>
  </mc:AlternateContent>
  <xr:revisionPtr revIDLastSave="0" documentId="13_ncr:1_{75FBD79B-A2BC-4705-8E52-E4ADEE89683C}" xr6:coauthVersionLast="47" xr6:coauthVersionMax="47" xr10:uidLastSave="{00000000-0000-0000-0000-000000000000}"/>
  <bookViews>
    <workbookView xWindow="-108" yWindow="-108" windowWidth="41496" windowHeight="16896" activeTab="3" xr2:uid="{00000000-000D-0000-FFFF-FFFF00000000}"/>
  </bookViews>
  <sheets>
    <sheet name="Figure_2b" sheetId="1" r:id="rId1"/>
    <sheet name="Figure_3c" sheetId="2" r:id="rId2"/>
    <sheet name="Figure_4a" sheetId="3" r:id="rId3"/>
    <sheet name="Figure_S6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6" i="2" l="1"/>
  <c r="H56" i="2"/>
  <c r="C56" i="2"/>
  <c r="W55" i="2"/>
  <c r="U55" i="2"/>
  <c r="V55" i="2" s="1"/>
  <c r="X55" i="2" s="1"/>
  <c r="C55" i="2"/>
  <c r="W54" i="2"/>
  <c r="U54" i="2"/>
  <c r="V54" i="2" s="1"/>
  <c r="X54" i="2" s="1"/>
  <c r="R54" i="2"/>
  <c r="Q54" i="2"/>
  <c r="S54" i="2" s="1"/>
  <c r="P54" i="2"/>
  <c r="M54" i="2"/>
  <c r="M55" i="2" s="1"/>
  <c r="H54" i="2"/>
  <c r="H55" i="2" s="1"/>
  <c r="C54" i="2"/>
  <c r="W53" i="2"/>
  <c r="U53" i="2"/>
  <c r="V53" i="2" s="1"/>
  <c r="X53" i="2" s="1"/>
  <c r="R53" i="2"/>
  <c r="P53" i="2"/>
  <c r="Q53" i="2" s="1"/>
  <c r="S53" i="2" s="1"/>
  <c r="L53" i="2"/>
  <c r="N53" i="2" s="1"/>
  <c r="I53" i="2"/>
  <c r="G53" i="2"/>
  <c r="B53" i="2"/>
  <c r="D53" i="2" s="1"/>
  <c r="V52" i="2"/>
  <c r="X52" i="2" s="1"/>
  <c r="R52" i="2"/>
  <c r="P52" i="2"/>
  <c r="Q52" i="2" s="1"/>
  <c r="S52" i="2" s="1"/>
  <c r="L52" i="2"/>
  <c r="N52" i="2" s="1"/>
  <c r="G52" i="2"/>
  <c r="I52" i="2" s="1"/>
  <c r="B52" i="2"/>
  <c r="D52" i="2" s="1"/>
  <c r="X51" i="2"/>
  <c r="V51" i="2"/>
  <c r="R51" i="2"/>
  <c r="P51" i="2"/>
  <c r="Q51" i="2" s="1"/>
  <c r="S51" i="2" s="1"/>
  <c r="L51" i="2"/>
  <c r="N51" i="2" s="1"/>
  <c r="G51" i="2"/>
  <c r="I51" i="2" s="1"/>
  <c r="B51" i="2"/>
  <c r="D51" i="2" s="1"/>
  <c r="V50" i="2"/>
  <c r="X50" i="2" s="1"/>
  <c r="R50" i="2"/>
  <c r="R57" i="2" s="1"/>
  <c r="Q50" i="2"/>
  <c r="P50" i="2"/>
  <c r="L50" i="2"/>
  <c r="N50" i="2" s="1"/>
  <c r="G50" i="2"/>
  <c r="G54" i="2" s="1"/>
  <c r="G55" i="2" s="1"/>
  <c r="B50" i="2"/>
  <c r="D50" i="2" s="1"/>
  <c r="V49" i="2"/>
  <c r="X49" i="2" s="1"/>
  <c r="R49" i="2"/>
  <c r="R55" i="2" s="1"/>
  <c r="R56" i="2" s="1"/>
  <c r="P49" i="2"/>
  <c r="Q49" i="2" s="1"/>
  <c r="L49" i="2"/>
  <c r="L56" i="2" s="1"/>
  <c r="I49" i="2"/>
  <c r="G49" i="2"/>
  <c r="G56" i="2" s="1"/>
  <c r="B49" i="2"/>
  <c r="D49" i="2" s="1"/>
  <c r="W38" i="2"/>
  <c r="W39" i="2" s="1"/>
  <c r="W37" i="2"/>
  <c r="V37" i="2"/>
  <c r="X37" i="2" s="1"/>
  <c r="U37" i="2"/>
  <c r="R37" i="2"/>
  <c r="P37" i="2"/>
  <c r="Q37" i="2" s="1"/>
  <c r="S37" i="2" s="1"/>
  <c r="M37" i="2"/>
  <c r="L37" i="2"/>
  <c r="N37" i="2" s="1"/>
  <c r="K37" i="2"/>
  <c r="H37" i="2"/>
  <c r="F37" i="2"/>
  <c r="G37" i="2" s="1"/>
  <c r="I37" i="2" s="1"/>
  <c r="C37" i="2"/>
  <c r="B37" i="2"/>
  <c r="D37" i="2" s="1"/>
  <c r="A37" i="2"/>
  <c r="W36" i="2"/>
  <c r="U36" i="2"/>
  <c r="V36" i="2" s="1"/>
  <c r="X36" i="2" s="1"/>
  <c r="R36" i="2"/>
  <c r="Q36" i="2"/>
  <c r="S36" i="2" s="1"/>
  <c r="P36" i="2"/>
  <c r="M36" i="2"/>
  <c r="K36" i="2"/>
  <c r="L36" i="2" s="1"/>
  <c r="N36" i="2" s="1"/>
  <c r="H36" i="2"/>
  <c r="G36" i="2"/>
  <c r="I36" i="2" s="1"/>
  <c r="F36" i="2"/>
  <c r="C36" i="2"/>
  <c r="A36" i="2"/>
  <c r="B36" i="2" s="1"/>
  <c r="D36" i="2" s="1"/>
  <c r="W35" i="2"/>
  <c r="V35" i="2"/>
  <c r="X35" i="2" s="1"/>
  <c r="U35" i="2"/>
  <c r="R35" i="2"/>
  <c r="P35" i="2"/>
  <c r="Q35" i="2" s="1"/>
  <c r="S35" i="2" s="1"/>
  <c r="M35" i="2"/>
  <c r="L35" i="2"/>
  <c r="N35" i="2" s="1"/>
  <c r="K35" i="2"/>
  <c r="H35" i="2"/>
  <c r="F35" i="2"/>
  <c r="G35" i="2" s="1"/>
  <c r="I35" i="2" s="1"/>
  <c r="C35" i="2"/>
  <c r="B35" i="2"/>
  <c r="D35" i="2" s="1"/>
  <c r="A35" i="2"/>
  <c r="W34" i="2"/>
  <c r="U34" i="2"/>
  <c r="V34" i="2" s="1"/>
  <c r="X34" i="2" s="1"/>
  <c r="R34" i="2"/>
  <c r="Q34" i="2"/>
  <c r="S34" i="2" s="1"/>
  <c r="P34" i="2"/>
  <c r="M34" i="2"/>
  <c r="K34" i="2"/>
  <c r="L34" i="2" s="1"/>
  <c r="N34" i="2" s="1"/>
  <c r="H34" i="2"/>
  <c r="G34" i="2"/>
  <c r="I34" i="2" s="1"/>
  <c r="F34" i="2"/>
  <c r="C34" i="2"/>
  <c r="A34" i="2"/>
  <c r="B34" i="2" s="1"/>
  <c r="D34" i="2" s="1"/>
  <c r="W33" i="2"/>
  <c r="W40" i="2" s="1"/>
  <c r="V33" i="2"/>
  <c r="U33" i="2"/>
  <c r="R33" i="2"/>
  <c r="R38" i="2" s="1"/>
  <c r="R39" i="2" s="1"/>
  <c r="P33" i="2"/>
  <c r="Q33" i="2" s="1"/>
  <c r="M33" i="2"/>
  <c r="M38" i="2" s="1"/>
  <c r="M39" i="2" s="1"/>
  <c r="L33" i="2"/>
  <c r="N33" i="2" s="1"/>
  <c r="K33" i="2"/>
  <c r="H33" i="2"/>
  <c r="H38" i="2" s="1"/>
  <c r="H39" i="2" s="1"/>
  <c r="F33" i="2"/>
  <c r="G33" i="2" s="1"/>
  <c r="C33" i="2"/>
  <c r="C38" i="2" s="1"/>
  <c r="C39" i="2" s="1"/>
  <c r="B33" i="2"/>
  <c r="B38" i="2" s="1"/>
  <c r="B39" i="2" s="1"/>
  <c r="A33" i="2"/>
  <c r="M22" i="2"/>
  <c r="K22" i="2"/>
  <c r="L22" i="2" s="1"/>
  <c r="N22" i="2" s="1"/>
  <c r="H22" i="2"/>
  <c r="F22" i="2"/>
  <c r="G22" i="2" s="1"/>
  <c r="I22" i="2" s="1"/>
  <c r="C22" i="2"/>
  <c r="A22" i="2"/>
  <c r="B22" i="2" s="1"/>
  <c r="D22" i="2" s="1"/>
  <c r="M21" i="2"/>
  <c r="K21" i="2"/>
  <c r="L21" i="2" s="1"/>
  <c r="N21" i="2" s="1"/>
  <c r="H21" i="2"/>
  <c r="F21" i="2"/>
  <c r="G21" i="2" s="1"/>
  <c r="I21" i="2" s="1"/>
  <c r="C21" i="2"/>
  <c r="A21" i="2"/>
  <c r="B21" i="2" s="1"/>
  <c r="D21" i="2" s="1"/>
  <c r="M20" i="2"/>
  <c r="K20" i="2"/>
  <c r="L20" i="2" s="1"/>
  <c r="N20" i="2" s="1"/>
  <c r="H20" i="2"/>
  <c r="F20" i="2"/>
  <c r="G20" i="2" s="1"/>
  <c r="I20" i="2" s="1"/>
  <c r="C20" i="2"/>
  <c r="C23" i="2" s="1"/>
  <c r="C24" i="2" s="1"/>
  <c r="A20" i="2"/>
  <c r="B20" i="2" s="1"/>
  <c r="D20" i="2" s="1"/>
  <c r="M19" i="2"/>
  <c r="K19" i="2"/>
  <c r="L19" i="2" s="1"/>
  <c r="N19" i="2" s="1"/>
  <c r="H19" i="2"/>
  <c r="F19" i="2"/>
  <c r="G19" i="2" s="1"/>
  <c r="I19" i="2" s="1"/>
  <c r="C19" i="2"/>
  <c r="A19" i="2"/>
  <c r="B19" i="2" s="1"/>
  <c r="D19" i="2" s="1"/>
  <c r="M18" i="2"/>
  <c r="M25" i="2" s="1"/>
  <c r="K18" i="2"/>
  <c r="L18" i="2" s="1"/>
  <c r="H18" i="2"/>
  <c r="H25" i="2" s="1"/>
  <c r="F18" i="2"/>
  <c r="G18" i="2" s="1"/>
  <c r="C18" i="2"/>
  <c r="C25" i="2" s="1"/>
  <c r="A18" i="2"/>
  <c r="B18" i="2" s="1"/>
  <c r="C10" i="2"/>
  <c r="H8" i="2"/>
  <c r="H9" i="2" s="1"/>
  <c r="C8" i="2"/>
  <c r="C9" i="2" s="1"/>
  <c r="M7" i="2"/>
  <c r="L7" i="2"/>
  <c r="N7" i="2" s="1"/>
  <c r="K7" i="2"/>
  <c r="H7" i="2"/>
  <c r="F7" i="2"/>
  <c r="G7" i="2" s="1"/>
  <c r="I7" i="2" s="1"/>
  <c r="C7" i="2"/>
  <c r="A7" i="2"/>
  <c r="B7" i="2" s="1"/>
  <c r="D7" i="2" s="1"/>
  <c r="N6" i="2"/>
  <c r="M6" i="2"/>
  <c r="L6" i="2"/>
  <c r="K6" i="2"/>
  <c r="H6" i="2"/>
  <c r="G6" i="2"/>
  <c r="I6" i="2" s="1"/>
  <c r="F6" i="2"/>
  <c r="C6" i="2"/>
  <c r="A6" i="2"/>
  <c r="B6" i="2" s="1"/>
  <c r="D6" i="2" s="1"/>
  <c r="M5" i="2"/>
  <c r="M8" i="2" s="1"/>
  <c r="M9" i="2" s="1"/>
  <c r="K5" i="2"/>
  <c r="L5" i="2" s="1"/>
  <c r="N5" i="2" s="1"/>
  <c r="I5" i="2"/>
  <c r="H5" i="2"/>
  <c r="G5" i="2"/>
  <c r="F5" i="2"/>
  <c r="C5" i="2"/>
  <c r="B5" i="2"/>
  <c r="D5" i="2" s="1"/>
  <c r="A5" i="2"/>
  <c r="M4" i="2"/>
  <c r="K4" i="2"/>
  <c r="L4" i="2" s="1"/>
  <c r="H4" i="2"/>
  <c r="H10" i="2" s="1"/>
  <c r="F4" i="2"/>
  <c r="G4" i="2" s="1"/>
  <c r="I4" i="2" s="1"/>
  <c r="D4" i="2"/>
  <c r="C4" i="2"/>
  <c r="B4" i="2"/>
  <c r="A4" i="2"/>
  <c r="M3" i="2"/>
  <c r="M10" i="2" s="1"/>
  <c r="L3" i="2"/>
  <c r="N3" i="2" s="1"/>
  <c r="K3" i="2"/>
  <c r="H3" i="2"/>
  <c r="F3" i="2"/>
  <c r="G3" i="2" s="1"/>
  <c r="C3" i="2"/>
  <c r="A3" i="2"/>
  <c r="B3" i="2" s="1"/>
  <c r="R38" i="1"/>
  <c r="L38" i="1"/>
  <c r="F38" i="1"/>
  <c r="F37" i="1"/>
  <c r="R36" i="1"/>
  <c r="L36" i="1"/>
  <c r="F36" i="1"/>
  <c r="R35" i="1"/>
  <c r="L35" i="1"/>
  <c r="F35" i="1"/>
  <c r="R34" i="1"/>
  <c r="L34" i="1"/>
  <c r="F34" i="1"/>
  <c r="Y33" i="1"/>
  <c r="R33" i="1"/>
  <c r="L33" i="1"/>
  <c r="F33" i="1"/>
  <c r="Y32" i="1"/>
  <c r="R32" i="1"/>
  <c r="L32" i="1"/>
  <c r="F32" i="1"/>
  <c r="R31" i="1"/>
  <c r="L31" i="1"/>
  <c r="F31" i="1"/>
  <c r="R30" i="1"/>
  <c r="L30" i="1"/>
  <c r="F30" i="1"/>
  <c r="Y29" i="1"/>
  <c r="R29" i="1"/>
  <c r="L29" i="1"/>
  <c r="F29" i="1"/>
  <c r="R28" i="1"/>
  <c r="L28" i="1"/>
  <c r="F28" i="1"/>
  <c r="Y24" i="1"/>
  <c r="R24" i="1"/>
  <c r="L24" i="1"/>
  <c r="F24" i="1"/>
  <c r="Y22" i="1"/>
  <c r="Y23" i="1" s="1"/>
  <c r="R22" i="1"/>
  <c r="R23" i="1" s="1"/>
  <c r="L22" i="1"/>
  <c r="L23" i="1" s="1"/>
  <c r="F22" i="1"/>
  <c r="F23" i="1" s="1"/>
  <c r="R11" i="1"/>
  <c r="R37" i="1" s="1"/>
  <c r="L11" i="1"/>
  <c r="L37" i="1" s="1"/>
  <c r="Y8" i="1"/>
  <c r="Y34" i="1" s="1"/>
  <c r="Y7" i="1"/>
  <c r="Y6" i="1"/>
  <c r="Y5" i="1"/>
  <c r="Y31" i="1" s="1"/>
  <c r="Y4" i="1"/>
  <c r="Y30" i="1" s="1"/>
  <c r="Y3" i="1"/>
  <c r="Y2" i="1"/>
  <c r="Y28" i="1" s="1"/>
  <c r="D18" i="2" l="1"/>
  <c r="B25" i="2"/>
  <c r="B23" i="2"/>
  <c r="B24" i="2" s="1"/>
  <c r="L25" i="2"/>
  <c r="L23" i="2"/>
  <c r="L24" i="2" s="1"/>
  <c r="N18" i="2"/>
  <c r="N38" i="2"/>
  <c r="N39" i="2" s="1"/>
  <c r="N40" i="2"/>
  <c r="G38" i="2"/>
  <c r="G39" i="2" s="1"/>
  <c r="I33" i="2"/>
  <c r="G40" i="2"/>
  <c r="Q38" i="2"/>
  <c r="Q39" i="2" s="1"/>
  <c r="Q40" i="2"/>
  <c r="S33" i="2"/>
  <c r="I3" i="2"/>
  <c r="G10" i="2"/>
  <c r="G8" i="2"/>
  <c r="G9" i="2" s="1"/>
  <c r="G25" i="2"/>
  <c r="G23" i="2"/>
  <c r="G24" i="2" s="1"/>
  <c r="I18" i="2"/>
  <c r="L8" i="2"/>
  <c r="L9" i="2" s="1"/>
  <c r="N4" i="2"/>
  <c r="L10" i="2"/>
  <c r="V40" i="2"/>
  <c r="Q57" i="2"/>
  <c r="S49" i="2"/>
  <c r="Q55" i="2"/>
  <c r="Q56" i="2" s="1"/>
  <c r="N10" i="2"/>
  <c r="N8" i="2"/>
  <c r="N9" i="2" s="1"/>
  <c r="B8" i="2"/>
  <c r="B9" i="2" s="1"/>
  <c r="D3" i="2"/>
  <c r="B10" i="2"/>
  <c r="D54" i="2"/>
  <c r="D55" i="2" s="1"/>
  <c r="D56" i="2"/>
  <c r="B54" i="2"/>
  <c r="B55" i="2" s="1"/>
  <c r="V38" i="2"/>
  <c r="V39" i="2" s="1"/>
  <c r="I50" i="2"/>
  <c r="I54" i="2" s="1"/>
  <c r="I55" i="2" s="1"/>
  <c r="B56" i="2"/>
  <c r="B40" i="2"/>
  <c r="D33" i="2"/>
  <c r="X33" i="2"/>
  <c r="C40" i="2"/>
  <c r="L54" i="2"/>
  <c r="L55" i="2" s="1"/>
  <c r="H40" i="2"/>
  <c r="N49" i="2"/>
  <c r="S50" i="2"/>
  <c r="S57" i="2" s="1"/>
  <c r="L40" i="2"/>
  <c r="H23" i="2"/>
  <c r="H24" i="2" s="1"/>
  <c r="M40" i="2"/>
  <c r="L38" i="2"/>
  <c r="L39" i="2" s="1"/>
  <c r="M23" i="2"/>
  <c r="M24" i="2" s="1"/>
  <c r="R40" i="2"/>
  <c r="Y9" i="1"/>
  <c r="Y11" i="1"/>
  <c r="Y37" i="1" s="1"/>
  <c r="S40" i="2" l="1"/>
  <c r="S38" i="2"/>
  <c r="S39" i="2" s="1"/>
  <c r="S55" i="2"/>
  <c r="S56" i="2" s="1"/>
  <c r="I38" i="2"/>
  <c r="I39" i="2" s="1"/>
  <c r="I40" i="2"/>
  <c r="D40" i="2"/>
  <c r="D38" i="2"/>
  <c r="D39" i="2" s="1"/>
  <c r="N56" i="2"/>
  <c r="N54" i="2"/>
  <c r="N55" i="2" s="1"/>
  <c r="N23" i="2"/>
  <c r="N24" i="2" s="1"/>
  <c r="N25" i="2"/>
  <c r="D10" i="2"/>
  <c r="D8" i="2"/>
  <c r="D9" i="2" s="1"/>
  <c r="I25" i="2"/>
  <c r="I23" i="2"/>
  <c r="I24" i="2" s="1"/>
  <c r="X38" i="2"/>
  <c r="X39" i="2" s="1"/>
  <c r="X40" i="2"/>
  <c r="I56" i="2"/>
  <c r="I10" i="2"/>
  <c r="I8" i="2"/>
  <c r="I9" i="2" s="1"/>
  <c r="D25" i="2"/>
  <c r="D23" i="2"/>
  <c r="D24" i="2" s="1"/>
  <c r="Y10" i="1"/>
  <c r="Y35" i="1"/>
  <c r="Y12" i="1" l="1"/>
  <c r="Y38" i="1" s="1"/>
  <c r="Y36" i="1"/>
</calcChain>
</file>

<file path=xl/sharedStrings.xml><?xml version="1.0" encoding="utf-8"?>
<sst xmlns="http://schemas.openxmlformats.org/spreadsheetml/2006/main" count="249" uniqueCount="52">
  <si>
    <t>Branching angle</t>
    <phoneticPr fontId="1" type="noConversion"/>
  </si>
  <si>
    <t>xA</t>
    <phoneticPr fontId="1" type="noConversion"/>
  </si>
  <si>
    <t>yA</t>
    <phoneticPr fontId="1" type="noConversion"/>
  </si>
  <si>
    <t>xB</t>
    <phoneticPr fontId="1" type="noConversion"/>
  </si>
  <si>
    <t>yB</t>
    <phoneticPr fontId="1" type="noConversion"/>
  </si>
  <si>
    <t>Angle</t>
    <phoneticPr fontId="1" type="noConversion"/>
  </si>
  <si>
    <t>Point-1</t>
    <phoneticPr fontId="1" type="noConversion"/>
  </si>
  <si>
    <t>Point-2_B1</t>
    <phoneticPr fontId="1" type="noConversion"/>
  </si>
  <si>
    <t>Point-2_B2</t>
    <phoneticPr fontId="1" type="noConversion"/>
  </si>
  <si>
    <t>Point-3</t>
    <phoneticPr fontId="1" type="noConversion"/>
  </si>
  <si>
    <t>Straight</t>
    <phoneticPr fontId="1" type="noConversion"/>
  </si>
  <si>
    <t>delt_x=0.0001</t>
    <phoneticPr fontId="1" type="noConversion"/>
  </si>
  <si>
    <t>delt_y=0.0001</t>
    <phoneticPr fontId="1" type="noConversion"/>
  </si>
  <si>
    <t>k=sqrt(3)</t>
    <phoneticPr fontId="1" type="noConversion"/>
  </si>
  <si>
    <t>ub=1E-4/sqrt3</t>
    <phoneticPr fontId="1" type="noConversion"/>
  </si>
  <si>
    <t>STD</t>
    <phoneticPr fontId="1" type="noConversion"/>
  </si>
  <si>
    <t>ua</t>
    <phoneticPr fontId="1" type="noConversion"/>
  </si>
  <si>
    <t>Mean</t>
    <phoneticPr fontId="1" type="noConversion"/>
  </si>
  <si>
    <t>uc</t>
    <phoneticPr fontId="1" type="noConversion"/>
  </si>
  <si>
    <t>LMD</t>
    <phoneticPr fontId="1" type="noConversion"/>
  </si>
  <si>
    <t>PI</t>
    <phoneticPr fontId="1" type="noConversion"/>
  </si>
  <si>
    <t>Negative</t>
    <phoneticPr fontId="1" type="noConversion"/>
  </si>
  <si>
    <t>Branch</t>
    <phoneticPr fontId="1" type="noConversion"/>
  </si>
  <si>
    <t>Xosc</t>
    <phoneticPr fontId="1" type="noConversion"/>
  </si>
  <si>
    <t>Wosc</t>
    <phoneticPr fontId="1" type="noConversion"/>
  </si>
  <si>
    <t>Aosc</t>
    <phoneticPr fontId="1" type="noConversion"/>
  </si>
  <si>
    <t>Cosc</t>
    <phoneticPr fontId="1" type="noConversion"/>
  </si>
  <si>
    <t>Single</t>
    <phoneticPr fontId="1" type="noConversion"/>
  </si>
  <si>
    <t>Oscillatory</t>
    <phoneticPr fontId="1" type="noConversion"/>
  </si>
  <si>
    <t>EXP</t>
    <phoneticPr fontId="1" type="noConversion"/>
  </si>
  <si>
    <t>Experiments</t>
    <phoneticPr fontId="1" type="noConversion"/>
  </si>
  <si>
    <t>Results_data</t>
    <phoneticPr fontId="1" type="noConversion"/>
  </si>
  <si>
    <t>REFerence</t>
    <phoneticPr fontId="1" type="noConversion"/>
  </si>
  <si>
    <t>ARMA 19-A-1822</t>
    <phoneticPr fontId="1" type="noConversion"/>
  </si>
  <si>
    <t>IJRMMS 2018-110-111-119</t>
    <phoneticPr fontId="1" type="noConversion"/>
  </si>
  <si>
    <t>Fuel 2017-190-370-378-OSC</t>
    <phoneticPr fontId="1" type="noConversion"/>
  </si>
  <si>
    <t>SPE-160140_Fig_8_a</t>
    <phoneticPr fontId="1" type="noConversion"/>
  </si>
  <si>
    <t>SPE-160140_Fig_7_c</t>
    <phoneticPr fontId="1" type="noConversion"/>
  </si>
  <si>
    <t>SPE-160140_Fig_8_c</t>
    <phoneticPr fontId="1" type="noConversion"/>
  </si>
  <si>
    <t>Pe</t>
    <phoneticPr fontId="1" type="noConversion"/>
  </si>
  <si>
    <t>λ</t>
    <phoneticPr fontId="1" type="noConversion"/>
  </si>
  <si>
    <t>Oscillating</t>
    <phoneticPr fontId="1" type="noConversion"/>
  </si>
  <si>
    <t>Branching</t>
    <phoneticPr fontId="1" type="noConversion"/>
  </si>
  <si>
    <t>BC line between OSC. And Bran.</t>
    <phoneticPr fontId="1" type="noConversion"/>
  </si>
  <si>
    <t>Case1</t>
    <phoneticPr fontId="1" type="noConversion"/>
  </si>
  <si>
    <t>Case2</t>
    <phoneticPr fontId="1" type="noConversion"/>
  </si>
  <si>
    <t>λp</t>
    <phoneticPr fontId="1" type="noConversion"/>
  </si>
  <si>
    <t>λc</t>
    <phoneticPr fontId="1" type="noConversion"/>
  </si>
  <si>
    <t>Case3</t>
    <phoneticPr fontId="1" type="noConversion"/>
  </si>
  <si>
    <t>Case4</t>
    <phoneticPr fontId="1" type="noConversion"/>
  </si>
  <si>
    <t>Case5</t>
    <phoneticPr fontId="1" type="noConversion"/>
  </si>
  <si>
    <t>Marked 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</si>
</sst>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11" fontId="0" fillId="3" borderId="0" xfId="0" applyNumberFormat="1" applyFill="1"/>
    <xf numFmtId="11" fontId="0" fillId="4" borderId="0" xfId="0" applyNumberFormat="1" applyFill="1"/>
    <xf numFmtId="0" fontId="2" fillId="0" borderId="0" xfId="0" applyFont="1"/>
    <xf numFmtId="11" fontId="2" fillId="0" borderId="0" xfId="0" applyNumberFormat="1" applyFont="1"/>
    <xf numFmtId="0" fontId="0" fillId="3" borderId="0" xfId="0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3" borderId="0" xfId="0" applyFont="1" applyFill="1"/>
    <xf numFmtId="11" fontId="4" fillId="5" borderId="0" xfId="0" applyNumberFormat="1" applyFont="1" applyFill="1"/>
    <xf numFmtId="0" fontId="4" fillId="5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"/>
  <sheetViews>
    <sheetView zoomScale="70" zoomScaleNormal="70" workbookViewId="0">
      <selection activeCell="L36" sqref="L36"/>
    </sheetView>
  </sheetViews>
  <sheetFormatPr defaultRowHeight="13.8" x14ac:dyDescent="0.25"/>
  <cols>
    <col min="1" max="1" width="16.77734375" bestFit="1" customWidth="1"/>
    <col min="2" max="5" width="11.21875" bestFit="1" customWidth="1"/>
    <col min="6" max="6" width="14.44140625" bestFit="1" customWidth="1"/>
    <col min="7" max="7" width="16.77734375" bestFit="1" customWidth="1"/>
    <col min="8" max="8" width="11.21875" bestFit="1" customWidth="1"/>
    <col min="9" max="9" width="10.44140625" bestFit="1" customWidth="1"/>
    <col min="10" max="10" width="11.21875" bestFit="1" customWidth="1"/>
    <col min="11" max="11" width="10.109375" bestFit="1" customWidth="1"/>
    <col min="12" max="12" width="14.44140625" bestFit="1" customWidth="1"/>
    <col min="13" max="13" width="16.77734375" bestFit="1" customWidth="1"/>
    <col min="14" max="14" width="11.21875" bestFit="1" customWidth="1"/>
    <col min="15" max="15" width="10.44140625" bestFit="1" customWidth="1"/>
    <col min="16" max="17" width="11.21875" bestFit="1" customWidth="1"/>
    <col min="18" max="18" width="14.44140625" bestFit="1" customWidth="1"/>
    <col min="19" max="19" width="16.77734375" bestFit="1" customWidth="1"/>
    <col min="20" max="20" width="11.21875" bestFit="1" customWidth="1"/>
    <col min="21" max="21" width="10.44140625" bestFit="1" customWidth="1"/>
    <col min="22" max="23" width="11.21875" bestFit="1" customWidth="1"/>
    <col min="24" max="24" width="10.109375" bestFit="1" customWidth="1"/>
    <col min="25" max="25" width="15.66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0</v>
      </c>
      <c r="T1" s="1" t="s">
        <v>1</v>
      </c>
      <c r="U1" s="1" t="s">
        <v>2</v>
      </c>
      <c r="V1" s="1" t="s">
        <v>3</v>
      </c>
      <c r="W1" s="1" t="s">
        <v>4</v>
      </c>
      <c r="X1" s="1"/>
      <c r="Y1" s="1"/>
    </row>
    <row r="2" spans="1:25" x14ac:dyDescent="0.25">
      <c r="A2" s="17" t="s">
        <v>6</v>
      </c>
      <c r="B2" s="1">
        <v>-6.9800000000000001E-2</v>
      </c>
      <c r="C2" s="1">
        <v>-1.0000000000000001E-5</v>
      </c>
      <c r="D2" s="1">
        <v>-6.8599999999999994E-2</v>
      </c>
      <c r="E2" s="1">
        <v>1.0000000000000001E-5</v>
      </c>
      <c r="F2" s="1">
        <v>1.6665123713940699E-2</v>
      </c>
      <c r="G2" s="16" t="s">
        <v>7</v>
      </c>
      <c r="H2" s="1">
        <v>-6.4699999999999994E-2</v>
      </c>
      <c r="I2" s="1">
        <v>0</v>
      </c>
      <c r="J2" s="1">
        <v>-6.4299999999999996E-2</v>
      </c>
      <c r="K2" s="1">
        <v>1.2E-4</v>
      </c>
      <c r="L2" s="1">
        <v>0.29145679447786899</v>
      </c>
      <c r="M2" s="16" t="s">
        <v>8</v>
      </c>
      <c r="N2" s="1">
        <v>-6.4699999999999994E-2</v>
      </c>
      <c r="O2" s="1">
        <v>0</v>
      </c>
      <c r="P2" s="1">
        <v>-6.4199999999999993E-2</v>
      </c>
      <c r="Q2" s="1">
        <v>-1.1E-4</v>
      </c>
      <c r="R2" s="1">
        <v>0.21655030497608899</v>
      </c>
      <c r="S2" s="16" t="s">
        <v>9</v>
      </c>
      <c r="T2" s="1">
        <v>-6.4699999999999994E-2</v>
      </c>
      <c r="U2" s="1">
        <v>0</v>
      </c>
      <c r="V2" s="1">
        <v>-6.1400000000000003E-2</v>
      </c>
      <c r="W2" s="1">
        <v>-7.9000000000000001E-4</v>
      </c>
      <c r="X2" s="1">
        <v>0.234971849192605</v>
      </c>
      <c r="Y2" s="1">
        <f>X2-0.253644675</f>
        <v>-1.8672825807394988E-2</v>
      </c>
    </row>
    <row r="3" spans="1:25" x14ac:dyDescent="0.25">
      <c r="A3" t="s">
        <v>10</v>
      </c>
      <c r="B3" s="1">
        <v>-6.9699999999999998E-2</v>
      </c>
      <c r="C3" s="1">
        <v>0</v>
      </c>
      <c r="D3" s="1">
        <v>-6.8500000000000005E-2</v>
      </c>
      <c r="E3" s="1">
        <v>-2.0000000000000002E-5</v>
      </c>
      <c r="F3" s="1">
        <v>1.66651237139409E-2</v>
      </c>
      <c r="G3" s="1" t="s">
        <v>0</v>
      </c>
      <c r="H3" s="1">
        <v>-6.4699999999999994E-2</v>
      </c>
      <c r="I3" s="1">
        <v>0</v>
      </c>
      <c r="J3" s="1">
        <v>-6.3899999999999998E-2</v>
      </c>
      <c r="K3" s="1">
        <v>2.2000000000000001E-4</v>
      </c>
      <c r="L3" s="1">
        <v>0.26836621090590801</v>
      </c>
      <c r="M3" s="1" t="s">
        <v>0</v>
      </c>
      <c r="N3" s="1">
        <v>-6.4699999999999994E-2</v>
      </c>
      <c r="O3" s="1">
        <v>0</v>
      </c>
      <c r="P3" s="1">
        <v>-6.3799999999999996E-2</v>
      </c>
      <c r="Q3" s="1">
        <v>-2.4000000000000001E-4</v>
      </c>
      <c r="R3" s="1">
        <v>0.26060239174734201</v>
      </c>
      <c r="S3" s="1" t="s">
        <v>10</v>
      </c>
      <c r="T3" s="1">
        <v>-6.4699999999999994E-2</v>
      </c>
      <c r="U3" s="1">
        <v>0</v>
      </c>
      <c r="V3" s="1">
        <v>-6.0999999999999999E-2</v>
      </c>
      <c r="W3" s="1">
        <v>-1E-3</v>
      </c>
      <c r="X3" s="1">
        <v>0.26396372362570503</v>
      </c>
      <c r="Y3" s="1">
        <f t="shared" ref="Y3:Y8" si="0">X3-0.253644675</f>
        <v>1.0319048625705041E-2</v>
      </c>
    </row>
    <row r="4" spans="1:25" x14ac:dyDescent="0.25">
      <c r="B4" s="1">
        <v>-6.9599999999999995E-2</v>
      </c>
      <c r="C4" s="1">
        <v>-2.0000000000000002E-5</v>
      </c>
      <c r="D4" s="1">
        <v>-6.8199999999999997E-2</v>
      </c>
      <c r="E4" s="1">
        <v>-1.0000000000000001E-5</v>
      </c>
      <c r="F4" s="1">
        <v>7.14273566941341E-3</v>
      </c>
      <c r="G4" s="1"/>
      <c r="H4" s="1">
        <v>-6.4699999999999994E-2</v>
      </c>
      <c r="I4" s="1">
        <v>0</v>
      </c>
      <c r="J4" s="1">
        <v>-6.3399999999999998E-2</v>
      </c>
      <c r="K4" s="1">
        <v>4.0999999999999999E-4</v>
      </c>
      <c r="L4" s="1">
        <v>0.30551068290897199</v>
      </c>
      <c r="M4" s="1"/>
      <c r="N4" s="1">
        <v>-6.4699999999999994E-2</v>
      </c>
      <c r="O4" s="1">
        <v>0</v>
      </c>
      <c r="P4" s="1">
        <v>-6.3399999999999998E-2</v>
      </c>
      <c r="Q4" s="1">
        <v>-4.0999999999999999E-4</v>
      </c>
      <c r="R4" s="1">
        <v>0.30551068290897199</v>
      </c>
      <c r="S4" s="1"/>
      <c r="T4" s="1">
        <v>-6.4699999999999994E-2</v>
      </c>
      <c r="U4" s="1">
        <v>0</v>
      </c>
      <c r="V4" s="1">
        <v>-6.0199999999999997E-2</v>
      </c>
      <c r="W4" s="1">
        <v>-1.25E-3</v>
      </c>
      <c r="X4" s="1">
        <v>0.27094685033842097</v>
      </c>
      <c r="Y4" s="1">
        <f t="shared" si="0"/>
        <v>1.7302175338420989E-2</v>
      </c>
    </row>
    <row r="5" spans="1:25" x14ac:dyDescent="0.25">
      <c r="A5" t="s">
        <v>11</v>
      </c>
      <c r="B5" s="1">
        <v>-6.9599999999999995E-2</v>
      </c>
      <c r="C5" s="1">
        <v>-3.0000000000000001E-5</v>
      </c>
      <c r="D5" s="1">
        <v>-6.7900000000000002E-2</v>
      </c>
      <c r="E5" s="1">
        <v>2.0000000000000002E-5</v>
      </c>
      <c r="F5" s="1">
        <v>2.9403288204005201E-2</v>
      </c>
      <c r="G5" s="1" t="s">
        <v>11</v>
      </c>
      <c r="H5" s="1">
        <v>-6.4699999999999994E-2</v>
      </c>
      <c r="I5" s="1">
        <v>0</v>
      </c>
      <c r="J5" s="1">
        <v>-6.3E-2</v>
      </c>
      <c r="K5" s="1">
        <v>4.8000000000000001E-4</v>
      </c>
      <c r="L5" s="1">
        <v>0.27518924912917198</v>
      </c>
      <c r="M5" s="1" t="s">
        <v>11</v>
      </c>
      <c r="N5" s="1">
        <v>-6.4699999999999994E-2</v>
      </c>
      <c r="O5" s="1">
        <v>0</v>
      </c>
      <c r="P5" s="1">
        <v>-6.3E-2</v>
      </c>
      <c r="Q5" s="1">
        <v>-4.8999999999999998E-4</v>
      </c>
      <c r="R5" s="1">
        <v>0.28062884733964599</v>
      </c>
      <c r="S5" s="1" t="s">
        <v>11</v>
      </c>
      <c r="T5" s="1">
        <v>-6.4699999999999994E-2</v>
      </c>
      <c r="U5" s="1">
        <v>0</v>
      </c>
      <c r="V5" s="1">
        <v>-5.8700000000000002E-2</v>
      </c>
      <c r="W5" s="1">
        <v>-1.5499999999999999E-3</v>
      </c>
      <c r="X5" s="1">
        <v>0.25280629190175702</v>
      </c>
      <c r="Y5" s="1">
        <f t="shared" si="0"/>
        <v>-8.3838309824296742E-4</v>
      </c>
    </row>
    <row r="6" spans="1:25" x14ac:dyDescent="0.25">
      <c r="A6" t="s">
        <v>12</v>
      </c>
      <c r="B6" s="1">
        <v>-6.9500000000000006E-2</v>
      </c>
      <c r="C6" s="1">
        <v>1.0000000000000001E-5</v>
      </c>
      <c r="D6" s="1">
        <v>-6.7599999999999993E-2</v>
      </c>
      <c r="E6" s="1">
        <v>-2.0000000000000002E-5</v>
      </c>
      <c r="F6" s="1">
        <v>1.57881617358245E-2</v>
      </c>
      <c r="G6" s="1" t="s">
        <v>12</v>
      </c>
      <c r="H6" s="1">
        <v>-6.4699999999999994E-2</v>
      </c>
      <c r="I6" s="1">
        <v>0</v>
      </c>
      <c r="J6" s="1">
        <v>-6.25E-2</v>
      </c>
      <c r="K6" s="1">
        <v>5.1000000000000004E-4</v>
      </c>
      <c r="L6" s="1">
        <v>0.22779453308827499</v>
      </c>
      <c r="M6" s="1" t="s">
        <v>12</v>
      </c>
      <c r="N6" s="1">
        <v>-6.4699999999999994E-2</v>
      </c>
      <c r="O6" s="1">
        <v>0</v>
      </c>
      <c r="P6" s="1">
        <v>-6.25E-2</v>
      </c>
      <c r="Q6" s="1">
        <v>-5.1999999999999995E-4</v>
      </c>
      <c r="R6" s="1">
        <v>0.232103838075156</v>
      </c>
      <c r="S6" s="1" t="s">
        <v>12</v>
      </c>
      <c r="T6" s="1">
        <v>-6.4699999999999994E-2</v>
      </c>
      <c r="U6" s="1">
        <v>0</v>
      </c>
      <c r="V6" s="1">
        <v>-6.0699999999999997E-2</v>
      </c>
      <c r="W6" s="1">
        <v>-1.1999999999999999E-3</v>
      </c>
      <c r="X6" s="1">
        <v>0.29145679447786699</v>
      </c>
      <c r="Y6" s="1">
        <f t="shared" si="0"/>
        <v>3.7812119477867001E-2</v>
      </c>
    </row>
    <row r="7" spans="1:25" x14ac:dyDescent="0.25">
      <c r="A7" t="s">
        <v>13</v>
      </c>
      <c r="B7" s="1">
        <v>-6.9400000000000003E-2</v>
      </c>
      <c r="C7" s="1">
        <v>-1.0000000000000001E-5</v>
      </c>
      <c r="D7" s="1">
        <v>-6.7299999999999999E-2</v>
      </c>
      <c r="E7" s="1">
        <v>-3.0000000000000001E-5</v>
      </c>
      <c r="F7" s="1">
        <v>9.5235215936128308E-3</v>
      </c>
      <c r="G7" s="1" t="s">
        <v>13</v>
      </c>
      <c r="H7" s="1">
        <v>-6.4699999999999994E-2</v>
      </c>
      <c r="I7" s="1">
        <v>0</v>
      </c>
      <c r="J7" s="1">
        <v>-6.2100000000000002E-2</v>
      </c>
      <c r="K7" s="1">
        <v>5.6999999999999998E-4</v>
      </c>
      <c r="L7" s="1">
        <v>0.215816467872917</v>
      </c>
      <c r="M7" s="1" t="s">
        <v>13</v>
      </c>
      <c r="N7" s="1">
        <v>-6.4699999999999994E-2</v>
      </c>
      <c r="O7" s="1">
        <v>0</v>
      </c>
      <c r="P7" s="1">
        <v>-6.2E-2</v>
      </c>
      <c r="Q7" s="1">
        <v>-5.9000000000000003E-4</v>
      </c>
      <c r="R7" s="1">
        <v>0.21513677845975501</v>
      </c>
      <c r="S7" s="1" t="s">
        <v>13</v>
      </c>
      <c r="T7" s="1">
        <v>-6.4699999999999994E-2</v>
      </c>
      <c r="U7" s="1">
        <v>0</v>
      </c>
      <c r="V7" s="1">
        <v>-6.1199999999999997E-2</v>
      </c>
      <c r="W7" s="1">
        <v>-1.3500000000000001E-3</v>
      </c>
      <c r="X7" s="1">
        <v>0.36813077132516397</v>
      </c>
      <c r="Y7" s="1">
        <f t="shared" si="0"/>
        <v>0.11448609632516399</v>
      </c>
    </row>
    <row r="8" spans="1:25" x14ac:dyDescent="0.25">
      <c r="A8" s="2" t="s">
        <v>14</v>
      </c>
      <c r="B8" s="1">
        <v>-6.93E-2</v>
      </c>
      <c r="C8" s="1">
        <v>2.0000000000000002E-5</v>
      </c>
      <c r="D8" s="1">
        <v>-6.7000000000000004E-2</v>
      </c>
      <c r="E8" s="1">
        <v>1.0000000000000001E-5</v>
      </c>
      <c r="F8" s="1">
        <v>4.3477986907575804E-3</v>
      </c>
      <c r="G8" s="3" t="s">
        <v>14</v>
      </c>
      <c r="H8" s="1">
        <v>-6.4699999999999994E-2</v>
      </c>
      <c r="I8" s="1">
        <v>0</v>
      </c>
      <c r="J8" s="1">
        <v>-6.1499999999999999E-2</v>
      </c>
      <c r="K8" s="1">
        <v>6.2E-4</v>
      </c>
      <c r="L8" s="1">
        <v>0.19137878528442501</v>
      </c>
      <c r="M8" s="3" t="s">
        <v>14</v>
      </c>
      <c r="N8" s="1">
        <v>-6.4699999999999994E-2</v>
      </c>
      <c r="O8" s="1">
        <v>0</v>
      </c>
      <c r="P8" s="1">
        <v>-6.1600000000000002E-2</v>
      </c>
      <c r="Q8" s="1">
        <v>-6.4999999999999997E-4</v>
      </c>
      <c r="R8" s="1">
        <v>0.20668321848425</v>
      </c>
      <c r="S8" s="3" t="s">
        <v>14</v>
      </c>
      <c r="T8" s="1">
        <v>-6.4699999999999994E-2</v>
      </c>
      <c r="U8" s="1">
        <v>0</v>
      </c>
      <c r="V8" s="1">
        <v>-5.9499999999999997E-2</v>
      </c>
      <c r="W8" s="1">
        <v>-1.4499999999999999E-3</v>
      </c>
      <c r="X8" s="1">
        <v>0.271938421654496</v>
      </c>
      <c r="Y8" s="1">
        <f t="shared" si="0"/>
        <v>1.8293746654496013E-2</v>
      </c>
    </row>
    <row r="9" spans="1:25" x14ac:dyDescent="0.25">
      <c r="A9" s="3">
        <v>5.7735026918962599E-5</v>
      </c>
      <c r="E9" t="s">
        <v>15</v>
      </c>
      <c r="F9" s="3">
        <v>8.3121754854858908E-3</v>
      </c>
      <c r="G9" s="3">
        <v>5.7735026918962599E-5</v>
      </c>
      <c r="H9" s="1"/>
      <c r="I9" s="1"/>
      <c r="J9" s="1"/>
      <c r="K9" s="1" t="s">
        <v>15</v>
      </c>
      <c r="L9" s="3">
        <v>4.2381158476844698E-2</v>
      </c>
      <c r="M9" s="3">
        <v>5.7735026918962599E-5</v>
      </c>
      <c r="N9" s="1"/>
      <c r="O9" s="1"/>
      <c r="P9" s="1"/>
      <c r="Q9" s="1" t="s">
        <v>15</v>
      </c>
      <c r="R9" s="3">
        <v>3.7659382322330501E-2</v>
      </c>
      <c r="S9" s="3">
        <v>5.7735026918962599E-5</v>
      </c>
      <c r="T9" s="1"/>
      <c r="U9" s="1"/>
      <c r="V9" s="1"/>
      <c r="W9" s="1"/>
      <c r="X9" s="1" t="s">
        <v>15</v>
      </c>
      <c r="Y9" s="3">
        <f>_xlfn.STDEV.P(Y2:Y8)</f>
        <v>3.9757573335177127E-2</v>
      </c>
    </row>
    <row r="10" spans="1:25" x14ac:dyDescent="0.25">
      <c r="E10" t="s">
        <v>16</v>
      </c>
      <c r="F10" s="3">
        <v>3.14170702693189E-3</v>
      </c>
      <c r="G10" s="1"/>
      <c r="H10" s="1"/>
      <c r="I10" s="1"/>
      <c r="J10" s="1"/>
      <c r="K10" s="1" t="s">
        <v>16</v>
      </c>
      <c r="L10" s="3">
        <v>1.6018572229221199E-2</v>
      </c>
      <c r="M10" s="1"/>
      <c r="N10" s="1"/>
      <c r="O10" s="1"/>
      <c r="P10" s="1"/>
      <c r="Q10" s="1" t="s">
        <v>16</v>
      </c>
      <c r="R10" s="3">
        <v>1.4233908593312699E-2</v>
      </c>
      <c r="S10" s="1"/>
      <c r="T10" s="1"/>
      <c r="U10" s="1"/>
      <c r="V10" s="1"/>
      <c r="W10" s="1"/>
      <c r="X10" s="1" t="s">
        <v>16</v>
      </c>
      <c r="Y10" s="3">
        <f>Y9/SQRT(7)</f>
        <v>1.5026950253755927E-2</v>
      </c>
    </row>
    <row r="11" spans="1:25" x14ac:dyDescent="0.25">
      <c r="E11" t="s">
        <v>17</v>
      </c>
      <c r="F11" s="4">
        <v>1.42193933316421E-2</v>
      </c>
      <c r="G11" s="1"/>
      <c r="H11" s="1"/>
      <c r="I11" s="1"/>
      <c r="J11" s="1"/>
      <c r="K11" s="1" t="s">
        <v>17</v>
      </c>
      <c r="L11" s="4">
        <f>AVERAGE(L2:L8)</f>
        <v>0.25364467480964825</v>
      </c>
      <c r="M11" s="1"/>
      <c r="N11" s="1"/>
      <c r="O11" s="1"/>
      <c r="P11" s="1"/>
      <c r="Q11" s="1" t="s">
        <v>17</v>
      </c>
      <c r="R11" s="4">
        <f>AVERAGE(R2:R8)</f>
        <v>0.24531658028445855</v>
      </c>
      <c r="S11" s="1"/>
      <c r="T11" s="1"/>
      <c r="U11" s="1"/>
      <c r="V11" s="1"/>
      <c r="W11" s="1"/>
      <c r="X11" s="1" t="s">
        <v>17</v>
      </c>
      <c r="Y11" s="4">
        <f>AVERAGE(Y2:Y8)</f>
        <v>2.5528853930859297E-2</v>
      </c>
    </row>
    <row r="12" spans="1:25" x14ac:dyDescent="0.25">
      <c r="E12" t="s">
        <v>18</v>
      </c>
      <c r="F12" s="5">
        <v>3.14223747931415E-3</v>
      </c>
      <c r="G12" s="1"/>
      <c r="H12" s="1"/>
      <c r="I12" s="1"/>
      <c r="J12" s="1"/>
      <c r="K12" s="1" t="s">
        <v>18</v>
      </c>
      <c r="L12" s="5">
        <v>1.60186762747772E-2</v>
      </c>
      <c r="M12" s="1"/>
      <c r="N12" s="1"/>
      <c r="O12" s="1"/>
      <c r="P12" s="1"/>
      <c r="Q12" s="1" t="s">
        <v>18</v>
      </c>
      <c r="R12" s="5">
        <v>1.4234025684117401E-2</v>
      </c>
      <c r="S12" s="1"/>
      <c r="T12" s="1"/>
      <c r="U12" s="1"/>
      <c r="V12" s="1"/>
      <c r="W12" s="1"/>
      <c r="X12" s="1" t="s">
        <v>18</v>
      </c>
      <c r="Y12" s="5">
        <f>SQRT(Y10^2+S9^2)</f>
        <v>1.5027061165184251E-2</v>
      </c>
    </row>
    <row r="13" spans="1:25" x14ac:dyDescent="0.25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E14" s="6" t="s">
        <v>19</v>
      </c>
      <c r="G14" s="1"/>
      <c r="H14" s="1"/>
      <c r="I14" s="1"/>
      <c r="J14" s="1"/>
      <c r="K14" s="7" t="s">
        <v>19</v>
      </c>
      <c r="L14" s="1"/>
      <c r="M14" s="1"/>
      <c r="N14" s="1"/>
      <c r="O14" s="1"/>
      <c r="P14" s="1"/>
      <c r="Q14" s="7" t="s">
        <v>19</v>
      </c>
      <c r="R14" s="1"/>
      <c r="S14" s="1"/>
      <c r="T14" s="1"/>
      <c r="U14" s="1"/>
      <c r="V14" s="1"/>
      <c r="W14" s="1"/>
      <c r="X14" s="7" t="s">
        <v>19</v>
      </c>
      <c r="Y14" s="1"/>
    </row>
    <row r="15" spans="1:25" x14ac:dyDescent="0.25">
      <c r="F15" s="1">
        <v>1.4</v>
      </c>
      <c r="G15" s="1"/>
      <c r="H15" s="1"/>
      <c r="I15" s="1"/>
      <c r="J15" s="1"/>
      <c r="K15" s="1"/>
      <c r="L15" s="1">
        <v>4.0999999999999996</v>
      </c>
      <c r="M15" s="1"/>
      <c r="N15" s="1"/>
      <c r="O15" s="1"/>
      <c r="P15" s="1"/>
      <c r="Q15" s="1"/>
      <c r="R15" s="1">
        <v>4.2</v>
      </c>
      <c r="S15" s="1"/>
      <c r="T15" s="1"/>
      <c r="U15" s="1"/>
      <c r="V15" s="1"/>
      <c r="W15" s="1"/>
      <c r="X15" s="1"/>
      <c r="Y15" s="1">
        <v>2.6</v>
      </c>
    </row>
    <row r="16" spans="1:25" x14ac:dyDescent="0.25">
      <c r="F16" s="1">
        <v>1.5</v>
      </c>
      <c r="G16" s="1"/>
      <c r="H16" s="1"/>
      <c r="I16" s="1"/>
      <c r="J16" s="1"/>
      <c r="K16" s="1"/>
      <c r="L16" s="1">
        <v>4.2</v>
      </c>
      <c r="M16" s="1"/>
      <c r="N16" s="1"/>
      <c r="O16" s="1"/>
      <c r="P16" s="1"/>
      <c r="Q16" s="1"/>
      <c r="R16" s="1">
        <v>4.4000000000000004</v>
      </c>
      <c r="S16" s="1"/>
      <c r="T16" s="1"/>
      <c r="U16" s="1"/>
      <c r="V16" s="1"/>
      <c r="W16" s="1"/>
      <c r="X16" s="1"/>
      <c r="Y16" s="1">
        <v>2.2000000000000002</v>
      </c>
    </row>
    <row r="17" spans="5:25" x14ac:dyDescent="0.25">
      <c r="F17" s="1">
        <v>2.6</v>
      </c>
      <c r="G17" s="1"/>
      <c r="H17" s="1"/>
      <c r="I17" s="1"/>
      <c r="J17" s="1"/>
      <c r="K17" s="1"/>
      <c r="L17" s="1">
        <v>4</v>
      </c>
      <c r="M17" s="1"/>
      <c r="N17" s="1"/>
      <c r="O17" s="1"/>
      <c r="P17" s="1"/>
      <c r="Q17" s="1"/>
      <c r="R17" s="1">
        <v>4.5999999999999996</v>
      </c>
      <c r="S17" s="1"/>
      <c r="T17" s="1"/>
      <c r="U17" s="1"/>
      <c r="V17" s="1"/>
      <c r="W17" s="1"/>
      <c r="X17" s="1"/>
      <c r="Y17" s="1">
        <v>2.4</v>
      </c>
    </row>
    <row r="18" spans="5:25" x14ac:dyDescent="0.25">
      <c r="F18" s="1">
        <v>2.2000000000000002</v>
      </c>
      <c r="G18" s="1"/>
      <c r="H18" s="1"/>
      <c r="I18" s="1"/>
      <c r="J18" s="1"/>
      <c r="K18" s="1"/>
      <c r="L18" s="1">
        <v>4.5999999999999996</v>
      </c>
      <c r="M18" s="1"/>
      <c r="N18" s="1"/>
      <c r="O18" s="1"/>
      <c r="P18" s="1"/>
      <c r="Q18" s="1"/>
      <c r="R18" s="1">
        <v>4.2</v>
      </c>
      <c r="S18" s="1"/>
      <c r="T18" s="1"/>
      <c r="U18" s="1"/>
      <c r="V18" s="1"/>
      <c r="W18" s="1"/>
      <c r="X18" s="1"/>
      <c r="Y18" s="1">
        <v>1.8</v>
      </c>
    </row>
    <row r="19" spans="5:25" x14ac:dyDescent="0.25">
      <c r="F19" s="1">
        <v>1.8</v>
      </c>
      <c r="G19" s="1"/>
      <c r="H19" s="1"/>
      <c r="I19" s="1"/>
      <c r="J19" s="1"/>
      <c r="K19" s="1"/>
      <c r="L19" s="1">
        <v>4.2</v>
      </c>
      <c r="M19" s="1"/>
      <c r="N19" s="1"/>
      <c r="O19" s="1"/>
      <c r="P19" s="1"/>
      <c r="Q19" s="1"/>
      <c r="R19" s="1">
        <v>4.3</v>
      </c>
      <c r="S19" s="1"/>
      <c r="T19" s="1"/>
      <c r="U19" s="1"/>
      <c r="V19" s="1"/>
      <c r="W19" s="1"/>
      <c r="X19" s="1"/>
      <c r="Y19" s="1">
        <v>2.2999999999999998</v>
      </c>
    </row>
    <row r="20" spans="5:25" x14ac:dyDescent="0.25">
      <c r="F20" s="1">
        <v>1.4</v>
      </c>
      <c r="G20" s="1"/>
      <c r="H20" s="1"/>
      <c r="I20" s="1"/>
      <c r="J20" s="1"/>
      <c r="K20" s="1"/>
      <c r="L20" s="1">
        <v>4.2</v>
      </c>
      <c r="M20" s="1"/>
      <c r="N20" s="1"/>
      <c r="O20" s="1"/>
      <c r="P20" s="1"/>
      <c r="Q20" s="1"/>
      <c r="R20" s="1">
        <v>4</v>
      </c>
      <c r="S20" s="1"/>
      <c r="T20" s="1"/>
      <c r="U20" s="1"/>
      <c r="V20" s="1"/>
      <c r="W20" s="1"/>
      <c r="X20" s="1"/>
      <c r="Y20" s="1">
        <v>1.9</v>
      </c>
    </row>
    <row r="21" spans="5:25" x14ac:dyDescent="0.25">
      <c r="F21" s="1">
        <v>2.1</v>
      </c>
      <c r="G21" s="1"/>
      <c r="H21" s="1"/>
      <c r="I21" s="1"/>
      <c r="J21" s="1"/>
      <c r="K21" s="1"/>
      <c r="L21" s="1">
        <v>4.3</v>
      </c>
      <c r="M21" s="1"/>
      <c r="N21" s="1"/>
      <c r="O21" s="1"/>
      <c r="P21" s="1"/>
      <c r="Q21" s="1"/>
      <c r="R21" s="1">
        <v>4.0999999999999996</v>
      </c>
      <c r="S21" s="1"/>
      <c r="T21" s="1"/>
      <c r="U21" s="1"/>
      <c r="V21" s="1"/>
      <c r="W21" s="1"/>
      <c r="X21" s="1"/>
      <c r="Y21" s="1">
        <v>2.1</v>
      </c>
    </row>
    <row r="22" spans="5:25" x14ac:dyDescent="0.25">
      <c r="E22" t="s">
        <v>15</v>
      </c>
      <c r="F22" s="3">
        <f>_xlfn.STDEV.P(F15:F21)</f>
        <v>0.42714046822074497</v>
      </c>
      <c r="G22" s="1"/>
      <c r="H22" s="1"/>
      <c r="I22" s="1"/>
      <c r="J22" s="1"/>
      <c r="K22" s="1" t="s">
        <v>15</v>
      </c>
      <c r="L22" s="3">
        <f>_xlfn.STDEV.P(L15:L21)</f>
        <v>0.17496355305594119</v>
      </c>
      <c r="M22" s="1"/>
      <c r="N22" s="1"/>
      <c r="O22" s="1"/>
      <c r="P22" s="1"/>
      <c r="Q22" s="1" t="s">
        <v>15</v>
      </c>
      <c r="R22" s="3">
        <f>_xlfn.STDEV.P(R15:R21)</f>
        <v>0.18405855323893031</v>
      </c>
      <c r="S22" s="1"/>
      <c r="T22" s="1"/>
      <c r="U22" s="1"/>
      <c r="V22" s="1"/>
      <c r="W22" s="1"/>
      <c r="X22" s="1" t="s">
        <v>15</v>
      </c>
      <c r="Y22" s="3">
        <f>_xlfn.STDEV.P(Y15:Y21)</f>
        <v>0.25872528966106684</v>
      </c>
    </row>
    <row r="23" spans="5:25" x14ac:dyDescent="0.25">
      <c r="E23" t="s">
        <v>16</v>
      </c>
      <c r="F23" s="3">
        <f>F22/SQRT(7)</f>
        <v>0.16144392197196844</v>
      </c>
      <c r="G23" s="1"/>
      <c r="H23" s="1"/>
      <c r="I23" s="1"/>
      <c r="J23" s="1"/>
      <c r="K23" s="1" t="s">
        <v>16</v>
      </c>
      <c r="L23" s="3">
        <f>L22/SQRT(7)</f>
        <v>6.6130007126610782E-2</v>
      </c>
      <c r="M23" s="1"/>
      <c r="N23" s="1"/>
      <c r="O23" s="1"/>
      <c r="P23" s="1"/>
      <c r="Q23" s="1" t="s">
        <v>16</v>
      </c>
      <c r="R23" s="3">
        <f>R22/SQRT(7)</f>
        <v>6.9567594077793088E-2</v>
      </c>
      <c r="S23" s="1"/>
      <c r="T23" s="1"/>
      <c r="U23" s="1"/>
      <c r="V23" s="1"/>
      <c r="W23" s="1"/>
      <c r="X23" s="1" t="s">
        <v>16</v>
      </c>
      <c r="Y23" s="3">
        <f>Y22/SQRT(7)</f>
        <v>9.7788967760904788E-2</v>
      </c>
    </row>
    <row r="24" spans="5:25" x14ac:dyDescent="0.25">
      <c r="E24" t="s">
        <v>17</v>
      </c>
      <c r="F24" s="4">
        <f>AVERAGE(F15:F21)</f>
        <v>1.8571428571428572</v>
      </c>
      <c r="G24" s="1"/>
      <c r="H24" s="1"/>
      <c r="I24" s="1"/>
      <c r="J24" s="1"/>
      <c r="K24" s="1" t="s">
        <v>17</v>
      </c>
      <c r="L24" s="4">
        <f>AVERAGE(L15:L21)</f>
        <v>4.2285714285714286</v>
      </c>
      <c r="M24" s="1"/>
      <c r="N24" s="1"/>
      <c r="O24" s="1"/>
      <c r="P24" s="1"/>
      <c r="Q24" s="1" t="s">
        <v>17</v>
      </c>
      <c r="R24" s="4">
        <f>AVERAGE(R15:R21)</f>
        <v>4.257142857142858</v>
      </c>
      <c r="S24" s="1"/>
      <c r="T24" s="1"/>
      <c r="U24" s="1"/>
      <c r="V24" s="1"/>
      <c r="W24" s="1"/>
      <c r="X24" s="1" t="s">
        <v>17</v>
      </c>
      <c r="Y24" s="4">
        <f>AVERAGE(Y15:Y21)</f>
        <v>2.1857142857142859</v>
      </c>
    </row>
    <row r="25" spans="5:25" x14ac:dyDescent="0.25">
      <c r="F25" s="1"/>
    </row>
    <row r="27" spans="5:25" x14ac:dyDescent="0.25">
      <c r="F27" t="s">
        <v>20</v>
      </c>
      <c r="L27" t="s">
        <v>20</v>
      </c>
      <c r="R27" t="s">
        <v>20</v>
      </c>
      <c r="Y27" t="s">
        <v>20</v>
      </c>
    </row>
    <row r="28" spans="5:25" x14ac:dyDescent="0.25">
      <c r="F28">
        <f>F2*3.14159265</f>
        <v>5.2355030171056804E-2</v>
      </c>
      <c r="L28">
        <f>L2*3.14159265</f>
        <v>0.9156385233242339</v>
      </c>
      <c r="R28">
        <f>R2*3.14159265</f>
        <v>0.68031284646813961</v>
      </c>
      <c r="Y28">
        <f>Y2*3.14159265</f>
        <v>-5.8662412311242418E-2</v>
      </c>
    </row>
    <row r="29" spans="5:25" x14ac:dyDescent="0.25">
      <c r="F29">
        <f t="shared" ref="F29:F38" si="1">F3*3.14159265</f>
        <v>5.2355030171057436E-2</v>
      </c>
      <c r="L29">
        <f t="shared" ref="L29:L38" si="2">L3*3.14159265</f>
        <v>0.84309731569035051</v>
      </c>
      <c r="R29">
        <f t="shared" ref="R29:R38" si="3">R3*3.14159265</f>
        <v>0.81870655848587037</v>
      </c>
      <c r="Y29">
        <f t="shared" ref="Y29:Y38" si="4">Y3*3.14159265</f>
        <v>3.2418247317507559E-2</v>
      </c>
    </row>
    <row r="30" spans="5:25" x14ac:dyDescent="0.25">
      <c r="F30">
        <f t="shared" si="1"/>
        <v>2.2439565879922001E-2</v>
      </c>
      <c r="L30">
        <f t="shared" si="2"/>
        <v>0.9597901159233071</v>
      </c>
      <c r="R30">
        <f t="shared" si="3"/>
        <v>0.9597901159233071</v>
      </c>
      <c r="Y30">
        <f t="shared" si="4"/>
        <v>5.4356386872194642E-2</v>
      </c>
    </row>
    <row r="31" spans="5:25" x14ac:dyDescent="0.25">
      <c r="F31">
        <f t="shared" si="1"/>
        <v>9.2373154107534453E-2</v>
      </c>
      <c r="L31">
        <f t="shared" si="2"/>
        <v>0.86453252242322565</v>
      </c>
      <c r="R31">
        <f t="shared" si="3"/>
        <v>0.88162152418020401</v>
      </c>
      <c r="Y31">
        <f t="shared" si="4"/>
        <v>-2.6338581793243347E-3</v>
      </c>
    </row>
    <row r="32" spans="5:25" x14ac:dyDescent="0.25">
      <c r="F32">
        <f t="shared" si="1"/>
        <v>4.9599972866277493E-2</v>
      </c>
      <c r="L32">
        <f t="shared" si="2"/>
        <v>0.71563763086030652</v>
      </c>
      <c r="R32">
        <f t="shared" si="3"/>
        <v>0.72917571173370033</v>
      </c>
      <c r="Y32">
        <f t="shared" si="4"/>
        <v>0.11879027663258881</v>
      </c>
    </row>
    <row r="33" spans="6:25" x14ac:dyDescent="0.25">
      <c r="F33">
        <f t="shared" si="1"/>
        <v>2.9919025440610359E-2</v>
      </c>
      <c r="L33">
        <f t="shared" si="2"/>
        <v>0.6780074292185172</v>
      </c>
      <c r="R33">
        <f t="shared" si="3"/>
        <v>0.67587212195384472</v>
      </c>
      <c r="Y33">
        <f t="shared" si="4"/>
        <v>0.35966867874232722</v>
      </c>
    </row>
    <row r="34" spans="6:25" x14ac:dyDescent="0.25">
      <c r="F34">
        <f t="shared" si="1"/>
        <v>1.3659012410563639E-2</v>
      </c>
      <c r="L34">
        <f t="shared" si="2"/>
        <v>0.60123418521547778</v>
      </c>
      <c r="R34">
        <f t="shared" si="3"/>
        <v>0.64931448006846404</v>
      </c>
      <c r="Y34">
        <f t="shared" si="4"/>
        <v>5.7471500030726763E-2</v>
      </c>
    </row>
    <row r="35" spans="6:25" x14ac:dyDescent="0.25">
      <c r="F35">
        <f t="shared" si="1"/>
        <v>2.6113469410712659E-2</v>
      </c>
      <c r="L35">
        <f t="shared" si="2"/>
        <v>0.1331443359693405</v>
      </c>
      <c r="R35">
        <f t="shared" si="3"/>
        <v>0.11831043870737344</v>
      </c>
      <c r="Y35">
        <f t="shared" si="4"/>
        <v>0.12490210017162845</v>
      </c>
    </row>
    <row r="36" spans="6:25" x14ac:dyDescent="0.25">
      <c r="F36">
        <f t="shared" si="1"/>
        <v>9.8699637042625778E-3</v>
      </c>
      <c r="L36">
        <f t="shared" si="2"/>
        <v>5.0323828778815437E-2</v>
      </c>
      <c r="R36">
        <f t="shared" si="3"/>
        <v>4.471714261752302E-2</v>
      </c>
      <c r="Y36">
        <f t="shared" si="4"/>
        <v>4.7208556469115259E-2</v>
      </c>
    </row>
    <row r="37" spans="6:25" x14ac:dyDescent="0.25">
      <c r="F37" s="8">
        <f t="shared" si="1"/>
        <v>4.4671541578145832E-2</v>
      </c>
      <c r="L37" s="8">
        <f t="shared" si="2"/>
        <v>0.79684824609363114</v>
      </c>
      <c r="Q37" t="s">
        <v>21</v>
      </c>
      <c r="R37" s="8">
        <f t="shared" si="3"/>
        <v>0.77068476554478993</v>
      </c>
      <c r="Y37" s="8">
        <f t="shared" si="4"/>
        <v>8.0201259872111186E-2</v>
      </c>
    </row>
    <row r="38" spans="6:25" x14ac:dyDescent="0.25">
      <c r="F38" s="9">
        <f t="shared" si="1"/>
        <v>9.8716301695678608E-3</v>
      </c>
      <c r="L38" s="9">
        <f t="shared" si="2"/>
        <v>5.0324155647569438E-2</v>
      </c>
      <c r="R38" s="9">
        <f t="shared" si="3"/>
        <v>4.4717510469134449E-2</v>
      </c>
      <c r="Y38" s="9">
        <f t="shared" si="4"/>
        <v>4.7208904907643283E-2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00A0-BDCA-4B99-9230-A63B8A208AF2}">
  <dimension ref="A1:Y57"/>
  <sheetViews>
    <sheetView zoomScale="70" zoomScaleNormal="70" workbookViewId="0">
      <selection activeCell="AC41" sqref="AC41"/>
    </sheetView>
  </sheetViews>
  <sheetFormatPr defaultRowHeight="13.8" x14ac:dyDescent="0.25"/>
  <sheetData>
    <row r="1" spans="1:24" x14ac:dyDescent="0.25">
      <c r="A1" s="10" t="s">
        <v>22</v>
      </c>
    </row>
    <row r="2" spans="1:24" x14ac:dyDescent="0.25">
      <c r="A2" t="s">
        <v>23</v>
      </c>
      <c r="B2" s="8" t="s">
        <v>24</v>
      </c>
      <c r="C2" s="8" t="s">
        <v>25</v>
      </c>
      <c r="D2" t="s">
        <v>26</v>
      </c>
      <c r="F2" t="s">
        <v>23</v>
      </c>
      <c r="G2" s="8" t="s">
        <v>24</v>
      </c>
      <c r="H2" s="8" t="s">
        <v>25</v>
      </c>
      <c r="I2" t="s">
        <v>26</v>
      </c>
      <c r="K2" t="s">
        <v>23</v>
      </c>
      <c r="L2" s="8" t="s">
        <v>24</v>
      </c>
      <c r="M2" s="8" t="s">
        <v>25</v>
      </c>
      <c r="N2" t="s">
        <v>26</v>
      </c>
    </row>
    <row r="3" spans="1:24" x14ac:dyDescent="0.25">
      <c r="A3" s="1">
        <f>4*(-0.059+0.0645)</f>
        <v>2.200000000000002E-2</v>
      </c>
      <c r="B3" s="1">
        <f>2*PI()/A3</f>
        <v>285.59933214452639</v>
      </c>
      <c r="C3" s="1">
        <f>-0.035+0.1</f>
        <v>6.5000000000000002E-2</v>
      </c>
      <c r="D3" s="1">
        <f>B3*C3</f>
        <v>18.563956589394216</v>
      </c>
      <c r="F3" s="1">
        <f>4*(-0.0554+0.061)</f>
        <v>2.2400000000000003E-2</v>
      </c>
      <c r="G3" s="1">
        <f>2*PI()/F3</f>
        <v>280.49934407051722</v>
      </c>
      <c r="H3" s="1">
        <f>-0.044+0.1</f>
        <v>5.6000000000000008E-2</v>
      </c>
      <c r="I3" s="1">
        <f>G3*H3</f>
        <v>15.707963267948967</v>
      </c>
      <c r="K3" s="1">
        <f>4*(-0.0578+0.0635)</f>
        <v>2.2800000000000015E-2</v>
      </c>
      <c r="L3" s="1">
        <f>2*PI()/K3</f>
        <v>275.57830294647289</v>
      </c>
      <c r="M3" s="1">
        <f>-0.048+0.1</f>
        <v>5.2000000000000005E-2</v>
      </c>
      <c r="N3" s="1">
        <f>L3*M3</f>
        <v>14.330071753216592</v>
      </c>
      <c r="P3" s="1"/>
      <c r="Q3" s="1"/>
      <c r="R3" s="1"/>
      <c r="S3" s="1"/>
      <c r="U3" s="1"/>
      <c r="V3" s="1"/>
      <c r="W3" s="1"/>
      <c r="X3" s="1"/>
    </row>
    <row r="4" spans="1:24" x14ac:dyDescent="0.25">
      <c r="A4" s="1">
        <f>4*(-0.0592+0.0645)</f>
        <v>2.1199999999999997E-2</v>
      </c>
      <c r="B4" s="1">
        <f>2*PI()/A4</f>
        <v>296.3766654329994</v>
      </c>
      <c r="C4" s="1">
        <f>-0.038+0.1</f>
        <v>6.2000000000000006E-2</v>
      </c>
      <c r="D4" s="1">
        <f>B4*C4</f>
        <v>18.375353256845965</v>
      </c>
      <c r="F4" s="1">
        <f>4*(-0.0565+0.061)</f>
        <v>1.7999999999999988E-2</v>
      </c>
      <c r="G4" s="1">
        <f>2*PI()/F4</f>
        <v>349.06585039886613</v>
      </c>
      <c r="H4" s="1">
        <f>-0.041+0.1</f>
        <v>5.9000000000000004E-2</v>
      </c>
      <c r="I4" s="1">
        <f>G4*H4</f>
        <v>20.594885173533104</v>
      </c>
      <c r="K4" s="1">
        <f>4*(-0.0568+0.0635)</f>
        <v>2.679999999999999E-2</v>
      </c>
      <c r="L4" s="1">
        <f>2*PI()/K4</f>
        <v>234.44721295446226</v>
      </c>
      <c r="M4" s="1">
        <f>-0.0478+0.1</f>
        <v>5.2200000000000003E-2</v>
      </c>
      <c r="N4" s="1">
        <f>L4*M4</f>
        <v>12.238144516222931</v>
      </c>
    </row>
    <row r="5" spans="1:24" x14ac:dyDescent="0.25">
      <c r="A5" s="1">
        <f>4*(-0.0595+0.0645)</f>
        <v>2.0000000000000018E-2</v>
      </c>
      <c r="B5" s="1">
        <f>2*PI()/A5</f>
        <v>314.15926535897904</v>
      </c>
      <c r="C5" s="1">
        <f>-0.0426+0.1</f>
        <v>5.7400000000000007E-2</v>
      </c>
      <c r="D5" s="1">
        <f>B5*C5</f>
        <v>18.032741831605399</v>
      </c>
      <c r="F5" s="1">
        <f>4*(-0.058+0.061)</f>
        <v>1.1999999999999983E-2</v>
      </c>
      <c r="G5" s="1">
        <f>2*PI()/F5</f>
        <v>523.59877559829965</v>
      </c>
      <c r="H5" s="1">
        <f>-0.043+0.1</f>
        <v>5.7000000000000009E-2</v>
      </c>
      <c r="I5" s="1">
        <f>G5*H5</f>
        <v>29.845130209103086</v>
      </c>
      <c r="K5" s="1">
        <f>4*(-0.056+0.0635)</f>
        <v>0.03</v>
      </c>
      <c r="L5" s="1">
        <f t="shared" ref="L5:L7" si="0">2*PI()/K5</f>
        <v>209.43951023931956</v>
      </c>
      <c r="M5" s="1">
        <f>-0.0512+0.1</f>
        <v>4.8800000000000003E-2</v>
      </c>
      <c r="N5" s="1">
        <f t="shared" ref="N5:N7" si="1">L5*M5</f>
        <v>10.220648099678796</v>
      </c>
    </row>
    <row r="6" spans="1:24" x14ac:dyDescent="0.25">
      <c r="A6" s="1">
        <f>4*(-0.0598+0.0645)</f>
        <v>1.8800000000000011E-2</v>
      </c>
      <c r="B6" s="1">
        <f>2*PI()/A6</f>
        <v>334.21198442444586</v>
      </c>
      <c r="C6" s="1">
        <f>-0.036+0.1</f>
        <v>6.4000000000000001E-2</v>
      </c>
      <c r="D6" s="1">
        <f>B6*C6</f>
        <v>21.389567003164537</v>
      </c>
      <c r="F6" s="1">
        <f>4*(-0.0583+0.061)</f>
        <v>1.0800000000000004E-2</v>
      </c>
      <c r="G6" s="1">
        <f>2*PI()/F6</f>
        <v>581.77641733144299</v>
      </c>
      <c r="H6" s="1">
        <f>-0.0423+0.1</f>
        <v>5.7700000000000008E-2</v>
      </c>
      <c r="I6" s="1">
        <f>G6*H6</f>
        <v>33.568499280024263</v>
      </c>
      <c r="K6" s="1">
        <f>4*(-0.0553+0.0635)</f>
        <v>3.2799999999999996E-2</v>
      </c>
      <c r="L6" s="1">
        <f t="shared" si="0"/>
        <v>191.56052765791424</v>
      </c>
      <c r="M6" s="1">
        <f>-0.0505+0.1</f>
        <v>4.9500000000000002E-2</v>
      </c>
      <c r="N6" s="1">
        <f t="shared" si="1"/>
        <v>9.4822461190667546</v>
      </c>
    </row>
    <row r="7" spans="1:24" x14ac:dyDescent="0.25">
      <c r="A7" s="1">
        <f>4*(-0.0604+0.0645)</f>
        <v>1.6399999999999998E-2</v>
      </c>
      <c r="B7" s="1">
        <f>2*PI()/A7</f>
        <v>383.12105531582847</v>
      </c>
      <c r="C7" s="1">
        <f>-0.042+0.1</f>
        <v>5.8000000000000003E-2</v>
      </c>
      <c r="D7" s="1">
        <f>B7*C7</f>
        <v>22.221021208318053</v>
      </c>
      <c r="F7" s="1">
        <f>4*(-0.0564+0.061)</f>
        <v>1.84E-2</v>
      </c>
      <c r="G7" s="1">
        <f>2*PI()/F7</f>
        <v>341.47746234671666</v>
      </c>
      <c r="H7" s="1">
        <f>-0.0426+0.1</f>
        <v>5.7400000000000007E-2</v>
      </c>
      <c r="I7" s="1">
        <f>G7*H7</f>
        <v>19.600806338701538</v>
      </c>
      <c r="K7" s="1">
        <f>4*(-0.0593+0.0635)</f>
        <v>1.6800000000000009E-2</v>
      </c>
      <c r="L7" s="1">
        <f t="shared" si="0"/>
        <v>373.99912542735609</v>
      </c>
      <c r="M7" s="1">
        <f>-0.056+0.1</f>
        <v>4.4000000000000004E-2</v>
      </c>
      <c r="N7" s="1">
        <f t="shared" si="1"/>
        <v>16.455961518803669</v>
      </c>
    </row>
    <row r="8" spans="1:24" x14ac:dyDescent="0.25">
      <c r="A8" t="s">
        <v>15</v>
      </c>
      <c r="B8" s="1">
        <f>_xlfn.STDEV.P(B3:B7)</f>
        <v>34.425430008003659</v>
      </c>
      <c r="C8" s="1">
        <f>_xlfn.STDEV.P(C3:C7)</f>
        <v>3.0844124237851189E-3</v>
      </c>
      <c r="D8" s="1">
        <f>_xlfn.STDEV.P(D3:D7)</f>
        <v>1.7340041606477248</v>
      </c>
      <c r="F8" t="s">
        <v>15</v>
      </c>
      <c r="G8" s="1">
        <f>_xlfn.STDEV.P(G3:G7)</f>
        <v>116.14729222142502</v>
      </c>
      <c r="H8" s="1">
        <f>_xlfn.STDEV.P(H3:H7)</f>
        <v>9.7652444925869491E-4</v>
      </c>
      <c r="I8" s="1">
        <f>_xlfn.STDEV.P(I3:I7)</f>
        <v>6.7131824121816459</v>
      </c>
      <c r="K8" t="s">
        <v>15</v>
      </c>
      <c r="L8" s="1">
        <f>_xlfn.STDEV.P(L3:L7)</f>
        <v>64.941360471631739</v>
      </c>
      <c r="M8" s="1">
        <f>_xlfn.STDEV.P(M3:M7)</f>
        <v>2.9691749695833014E-3</v>
      </c>
      <c r="N8" s="1">
        <f>_xlfn.STDEV.P(N3:N7)</f>
        <v>2.5829956905374329</v>
      </c>
    </row>
    <row r="9" spans="1:24" x14ac:dyDescent="0.25">
      <c r="A9" t="s">
        <v>16</v>
      </c>
      <c r="B9" s="4">
        <f>B8/SQRT(5)</f>
        <v>15.395520330511461</v>
      </c>
      <c r="C9" s="4">
        <f>C8/SQRT(5)</f>
        <v>1.379391170045683E-3</v>
      </c>
      <c r="D9" s="1">
        <f>D8/SQRT(5)</f>
        <v>0.77547023529515569</v>
      </c>
      <c r="F9" t="s">
        <v>16</v>
      </c>
      <c r="G9" s="4">
        <f>G8/SQRT(5)</f>
        <v>51.942648161927778</v>
      </c>
      <c r="H9" s="4">
        <f>H8/SQRT(5)</f>
        <v>4.3671501004659719E-4</v>
      </c>
      <c r="I9" s="1">
        <f>I8/SQRT(5)</f>
        <v>3.0022264437988344</v>
      </c>
      <c r="K9" t="s">
        <v>16</v>
      </c>
      <c r="L9" s="4">
        <f>L8/SQRT(5)</f>
        <v>29.042659313177275</v>
      </c>
      <c r="M9" s="4">
        <f>M8/SQRT(5)</f>
        <v>1.3278554138158264E-3</v>
      </c>
      <c r="N9" s="1">
        <f>N8/SQRT(5)</f>
        <v>1.155150789926142</v>
      </c>
    </row>
    <row r="10" spans="1:24" x14ac:dyDescent="0.25">
      <c r="A10" t="s">
        <v>17</v>
      </c>
      <c r="B10" s="5">
        <f>AVERAGE(B3:B7)</f>
        <v>322.69366053535583</v>
      </c>
      <c r="C10" s="5">
        <f>AVERAGE(C3:C7)</f>
        <v>6.1280000000000001E-2</v>
      </c>
      <c r="D10" s="1">
        <f>AVERAGE(D3:D7)</f>
        <v>19.716527977865631</v>
      </c>
      <c r="F10" t="s">
        <v>17</v>
      </c>
      <c r="G10" s="5">
        <f>AVERAGE(G3:G7)</f>
        <v>415.28356994916851</v>
      </c>
      <c r="H10" s="5">
        <f>AVERAGE(H3:H7)</f>
        <v>5.7420000000000006E-2</v>
      </c>
      <c r="I10" s="1">
        <f>AVERAGE(I3:I7)</f>
        <v>23.863456853862193</v>
      </c>
      <c r="K10" t="s">
        <v>17</v>
      </c>
      <c r="L10" s="5">
        <f>AVERAGE(L3:L7)</f>
        <v>257.00493584510502</v>
      </c>
      <c r="M10" s="5">
        <f>AVERAGE(M3:M7)</f>
        <v>4.9300000000000004E-2</v>
      </c>
      <c r="N10" s="1">
        <f>AVERAGE(N3:N7)</f>
        <v>12.545414401397748</v>
      </c>
    </row>
    <row r="16" spans="1:24" x14ac:dyDescent="0.25">
      <c r="A16" s="10" t="s">
        <v>27</v>
      </c>
    </row>
    <row r="17" spans="1:24" x14ac:dyDescent="0.25">
      <c r="A17" t="s">
        <v>23</v>
      </c>
      <c r="B17" s="8" t="s">
        <v>24</v>
      </c>
      <c r="C17" s="8" t="s">
        <v>25</v>
      </c>
      <c r="D17" t="s">
        <v>26</v>
      </c>
      <c r="F17" t="s">
        <v>23</v>
      </c>
      <c r="G17" s="8" t="s">
        <v>24</v>
      </c>
      <c r="H17" s="8" t="s">
        <v>25</v>
      </c>
      <c r="I17" t="s">
        <v>26</v>
      </c>
      <c r="K17" t="s">
        <v>23</v>
      </c>
      <c r="L17" s="8" t="s">
        <v>24</v>
      </c>
      <c r="M17" s="8" t="s">
        <v>25</v>
      </c>
      <c r="N17" t="s">
        <v>26</v>
      </c>
    </row>
    <row r="18" spans="1:24" x14ac:dyDescent="0.25">
      <c r="A18" s="1">
        <f>4*(-0.0408+0.1)</f>
        <v>0.23680000000000001</v>
      </c>
      <c r="B18" s="1">
        <f>2*PI()/A18</f>
        <v>26.533721736400278</v>
      </c>
      <c r="C18" s="1">
        <f>-0.065+0.1</f>
        <v>3.5000000000000003E-2</v>
      </c>
      <c r="D18" s="1">
        <f>B18*C18</f>
        <v>0.92868026077400978</v>
      </c>
      <c r="F18" s="1">
        <f>4*(-0.0308+0.1)</f>
        <v>0.27680000000000005</v>
      </c>
      <c r="G18" s="1">
        <f>2*PI()/F18</f>
        <v>22.699368884319309</v>
      </c>
      <c r="H18" s="1">
        <f>-0.056+0.1</f>
        <v>4.4000000000000004E-2</v>
      </c>
      <c r="I18" s="1">
        <f>G18*H18</f>
        <v>0.99877223091004974</v>
      </c>
      <c r="K18" s="1">
        <f>4*(-0.0345+0.1)</f>
        <v>0.26200000000000001</v>
      </c>
      <c r="L18" s="1">
        <f>2*PI()/K18</f>
        <v>23.981623309845748</v>
      </c>
      <c r="M18" s="1">
        <f>-0.058+0.1</f>
        <v>4.2000000000000003E-2</v>
      </c>
      <c r="N18" s="1">
        <f>L18*M18</f>
        <v>1.0072281790135216</v>
      </c>
    </row>
    <row r="19" spans="1:24" x14ac:dyDescent="0.25">
      <c r="A19" s="1">
        <f>4*(-0.0437+0.1)</f>
        <v>0.22520000000000001</v>
      </c>
      <c r="B19" s="1">
        <f>2*PI()/A19</f>
        <v>27.900467616250381</v>
      </c>
      <c r="C19" s="1">
        <f>-0.067+0.1</f>
        <v>3.3000000000000002E-2</v>
      </c>
      <c r="D19" s="1">
        <f>B19*C19</f>
        <v>0.92071543133626266</v>
      </c>
      <c r="F19" s="1">
        <f>4*(-0.0315+0.1)</f>
        <v>0.27400000000000002</v>
      </c>
      <c r="G19" s="1">
        <f>2*PI()/F19</f>
        <v>22.931333237881699</v>
      </c>
      <c r="H19" s="1">
        <f>-0.059+0.1</f>
        <v>4.1000000000000009E-2</v>
      </c>
      <c r="I19" s="1">
        <f>G19*H19</f>
        <v>0.94018466275314982</v>
      </c>
      <c r="K19" s="1">
        <f>4*(-0.036+0.1)</f>
        <v>0.25600000000000001</v>
      </c>
      <c r="L19" s="1">
        <f>2*PI()/K19</f>
        <v>24.543692606170257</v>
      </c>
      <c r="M19" s="1">
        <f>-0.0595+0.1</f>
        <v>4.0500000000000008E-2</v>
      </c>
      <c r="N19" s="1">
        <f>L19*M19</f>
        <v>0.99401955054989566</v>
      </c>
    </row>
    <row r="20" spans="1:24" x14ac:dyDescent="0.25">
      <c r="A20" s="1">
        <f>4*(-0.0496+0.1)</f>
        <v>0.20160000000000003</v>
      </c>
      <c r="B20" s="1">
        <f t="shared" ref="B20:B22" si="2">2*PI()/A20</f>
        <v>31.166593785613024</v>
      </c>
      <c r="C20" s="1">
        <f>-0.068+0.1</f>
        <v>3.2000000000000001E-2</v>
      </c>
      <c r="D20" s="1">
        <f t="shared" ref="D20:D22" si="3">B20*C20</f>
        <v>0.99733100113961681</v>
      </c>
      <c r="F20" s="1">
        <f>4*(-0.0326+0.1)</f>
        <v>0.26960000000000006</v>
      </c>
      <c r="G20" s="1">
        <f t="shared" ref="G20:G22" si="4">2*PI()/F20</f>
        <v>23.305583483603801</v>
      </c>
      <c r="H20" s="1">
        <f>-0.0602+0.1</f>
        <v>3.9800000000000009E-2</v>
      </c>
      <c r="I20" s="1">
        <f t="shared" ref="I20:I22" si="5">G20*H20</f>
        <v>0.92756222264743149</v>
      </c>
      <c r="K20" s="1">
        <f>4*(-0.0378+0.1)</f>
        <v>0.24880000000000002</v>
      </c>
      <c r="L20" s="1">
        <f t="shared" ref="L20:L22" si="6">2*PI()/K20</f>
        <v>25.25396023786007</v>
      </c>
      <c r="M20" s="1">
        <f>-0.0612+0.1</f>
        <v>3.8800000000000008E-2</v>
      </c>
      <c r="N20" s="1">
        <f t="shared" ref="N20:N22" si="7">L20*M20</f>
        <v>0.97985365722897089</v>
      </c>
    </row>
    <row r="21" spans="1:24" x14ac:dyDescent="0.25">
      <c r="A21" s="1">
        <f>4*(-0.0515+0.1)</f>
        <v>0.19400000000000003</v>
      </c>
      <c r="B21" s="1">
        <f t="shared" si="2"/>
        <v>32.387553129791677</v>
      </c>
      <c r="C21" s="1">
        <f>-0.069+0.1</f>
        <v>3.1E-2</v>
      </c>
      <c r="D21" s="1">
        <f t="shared" si="3"/>
        <v>1.004014147023542</v>
      </c>
      <c r="F21" s="1">
        <f>4*(-0.0364+0.1)</f>
        <v>0.25440000000000002</v>
      </c>
      <c r="G21" s="1">
        <f t="shared" si="4"/>
        <v>24.698055452749944</v>
      </c>
      <c r="H21" s="1">
        <f>-0.0635+0.1</f>
        <v>3.6500000000000005E-2</v>
      </c>
      <c r="I21" s="1">
        <f t="shared" si="5"/>
        <v>0.90147902402537305</v>
      </c>
      <c r="K21" s="1">
        <f>4*(-0.0389+0.1)</f>
        <v>0.24440000000000003</v>
      </c>
      <c r="L21" s="1">
        <f t="shared" si="6"/>
        <v>25.708614186495847</v>
      </c>
      <c r="M21" s="1">
        <f>-0.064+0.1</f>
        <v>3.6000000000000004E-2</v>
      </c>
      <c r="N21" s="1">
        <f t="shared" si="7"/>
        <v>0.92551011071385059</v>
      </c>
    </row>
    <row r="22" spans="1:24" x14ac:dyDescent="0.25">
      <c r="A22" s="1">
        <f>4*(-0.0535+0.1)</f>
        <v>0.18600000000000003</v>
      </c>
      <c r="B22" s="1">
        <f t="shared" si="2"/>
        <v>33.78056616763218</v>
      </c>
      <c r="C22" s="1">
        <f>-0.0695+0.1</f>
        <v>3.0499999999999999E-2</v>
      </c>
      <c r="D22" s="1">
        <f t="shared" si="3"/>
        <v>1.0303072681127814</v>
      </c>
      <c r="F22" s="1">
        <f>4*(-0.0378+0.1)</f>
        <v>0.24880000000000002</v>
      </c>
      <c r="G22" s="1">
        <f t="shared" si="4"/>
        <v>25.25396023786007</v>
      </c>
      <c r="H22" s="1">
        <f>-0.0655+0.1</f>
        <v>3.4500000000000003E-2</v>
      </c>
      <c r="I22" s="1">
        <f t="shared" si="5"/>
        <v>0.87126162820617248</v>
      </c>
      <c r="K22" s="1">
        <f>4*(-0.0395+0.1)</f>
        <v>0.24200000000000002</v>
      </c>
      <c r="L22" s="1">
        <f t="shared" si="6"/>
        <v>25.96357564950242</v>
      </c>
      <c r="M22" s="1">
        <f>-0.066+0.1</f>
        <v>3.4000000000000002E-2</v>
      </c>
      <c r="N22" s="1">
        <f t="shared" si="7"/>
        <v>0.88276157208308237</v>
      </c>
    </row>
    <row r="23" spans="1:24" x14ac:dyDescent="0.25">
      <c r="A23" t="s">
        <v>15</v>
      </c>
      <c r="B23" s="1">
        <f>_xlfn.STDEV.P(B18:B22)</f>
        <v>2.7258521464589758</v>
      </c>
      <c r="C23" s="1">
        <f>_xlfn.STDEV.P(C18:C22)</f>
        <v>1.6000000000000016E-3</v>
      </c>
      <c r="D23" s="1">
        <f>_xlfn.STDEV.P(D18:D22)</f>
        <v>4.3553197263718396E-2</v>
      </c>
      <c r="F23" t="s">
        <v>15</v>
      </c>
      <c r="G23" s="1">
        <f>_xlfn.STDEV.P(G18:G22)</f>
        <v>1.0127612885092385</v>
      </c>
      <c r="H23" s="1">
        <f>_xlfn.STDEV.P(H18:H22)</f>
        <v>3.3469986555121302E-3</v>
      </c>
      <c r="I23" s="1">
        <f>_xlfn.STDEV.P(I18:I22)</f>
        <v>4.2614227049995707E-2</v>
      </c>
      <c r="K23" t="s">
        <v>15</v>
      </c>
      <c r="L23" s="1">
        <f>_xlfn.STDEV.P(L18:L22)</f>
        <v>0.73479944375886719</v>
      </c>
      <c r="M23" s="1">
        <f>_xlfn.STDEV.P(M18:M22)</f>
        <v>2.9172589874743729E-3</v>
      </c>
      <c r="N23" s="1">
        <f>_xlfn.STDEV.P(N18:N22)</f>
        <v>4.672202756296575E-2</v>
      </c>
    </row>
    <row r="24" spans="1:24" x14ac:dyDescent="0.25">
      <c r="A24" t="s">
        <v>16</v>
      </c>
      <c r="B24" s="4">
        <f>B23/SQRT(5)</f>
        <v>1.2190381392191965</v>
      </c>
      <c r="C24" s="4">
        <f>C23/SQRT(5)</f>
        <v>7.1554175279993338E-4</v>
      </c>
      <c r="D24" s="1">
        <f>D23/SQRT(5)</f>
        <v>1.9477581943826434E-2</v>
      </c>
      <c r="F24" t="s">
        <v>16</v>
      </c>
      <c r="G24" s="4">
        <f>G23/SQRT(5)</f>
        <v>0.4529206172173868</v>
      </c>
      <c r="H24" s="4">
        <f>H23/SQRT(5)</f>
        <v>1.4968233028651047E-3</v>
      </c>
      <c r="I24" s="1">
        <f>I23/SQRT(5)</f>
        <v>1.9057661698480145E-2</v>
      </c>
      <c r="K24" t="s">
        <v>16</v>
      </c>
      <c r="L24" s="4">
        <f>L23/SQRT(5)</f>
        <v>0.32861230121477208</v>
      </c>
      <c r="M24" s="4">
        <f>M23/SQRT(5)</f>
        <v>1.3046378807929811E-3</v>
      </c>
      <c r="N24" s="1">
        <f>N23/SQRT(5)</f>
        <v>2.0894725935482049E-2</v>
      </c>
    </row>
    <row r="25" spans="1:24" x14ac:dyDescent="0.25">
      <c r="A25" t="s">
        <v>17</v>
      </c>
      <c r="B25" s="5">
        <f>AVERAGE(B18:B22)</f>
        <v>30.353780487137509</v>
      </c>
      <c r="C25" s="5">
        <f>AVERAGE(C18:C22)</f>
        <v>3.2300000000000002E-2</v>
      </c>
      <c r="D25" s="1">
        <f>AVERAGE(D18:D22)</f>
        <v>0.97620962167724257</v>
      </c>
      <c r="F25" t="s">
        <v>17</v>
      </c>
      <c r="G25" s="5">
        <f>AVERAGE(G18:G22)</f>
        <v>23.777660259282964</v>
      </c>
      <c r="H25" s="5">
        <f>AVERAGE(H18:H22)</f>
        <v>3.9160000000000007E-2</v>
      </c>
      <c r="I25" s="1">
        <f>AVERAGE(I18:I22)</f>
        <v>0.92785195370843532</v>
      </c>
      <c r="K25" t="s">
        <v>17</v>
      </c>
      <c r="L25" s="5">
        <f>AVERAGE(L18:L22)</f>
        <v>25.090293197974869</v>
      </c>
      <c r="M25" s="5">
        <f>AVERAGE(M18:M22)</f>
        <v>3.8260000000000002E-2</v>
      </c>
      <c r="N25" s="1">
        <f>AVERAGE(N18:N22)</f>
        <v>0.95787461391786421</v>
      </c>
    </row>
    <row r="31" spans="1:24" x14ac:dyDescent="0.25">
      <c r="A31" s="10" t="s">
        <v>28</v>
      </c>
    </row>
    <row r="32" spans="1:24" x14ac:dyDescent="0.25">
      <c r="A32" t="s">
        <v>23</v>
      </c>
      <c r="B32" s="8" t="s">
        <v>24</v>
      </c>
      <c r="C32" s="8" t="s">
        <v>25</v>
      </c>
      <c r="D32" t="s">
        <v>26</v>
      </c>
      <c r="F32" t="s">
        <v>23</v>
      </c>
      <c r="G32" s="8" t="s">
        <v>24</v>
      </c>
      <c r="H32" s="8" t="s">
        <v>25</v>
      </c>
      <c r="I32" t="s">
        <v>26</v>
      </c>
      <c r="K32" t="s">
        <v>23</v>
      </c>
      <c r="L32" s="8" t="s">
        <v>24</v>
      </c>
      <c r="M32" s="8" t="s">
        <v>25</v>
      </c>
      <c r="N32" t="s">
        <v>26</v>
      </c>
      <c r="P32" t="s">
        <v>23</v>
      </c>
      <c r="Q32" s="8" t="s">
        <v>24</v>
      </c>
      <c r="R32" s="8" t="s">
        <v>25</v>
      </c>
      <c r="S32" t="s">
        <v>26</v>
      </c>
      <c r="U32" t="s">
        <v>23</v>
      </c>
      <c r="V32" s="8" t="s">
        <v>24</v>
      </c>
      <c r="W32" s="8" t="s">
        <v>25</v>
      </c>
      <c r="X32" t="s">
        <v>26</v>
      </c>
    </row>
    <row r="33" spans="1:24" x14ac:dyDescent="0.25">
      <c r="A33" s="1">
        <f>2*(-0.041+0.056)</f>
        <v>0.03</v>
      </c>
      <c r="B33" s="1">
        <f>2*PI()/A33</f>
        <v>209.43951023931956</v>
      </c>
      <c r="C33" s="1">
        <f>-0.056+0.07</f>
        <v>1.4000000000000005E-2</v>
      </c>
      <c r="D33" s="1">
        <f>B33*C33</f>
        <v>2.9321531433504751</v>
      </c>
      <c r="F33" s="1">
        <f>2*(-0.042+0.058)</f>
        <v>3.2000000000000001E-2</v>
      </c>
      <c r="G33" s="1">
        <f>2*PI()/F33</f>
        <v>196.34954084936206</v>
      </c>
      <c r="H33" s="1">
        <f>-0.0554+0.07</f>
        <v>1.4600000000000009E-2</v>
      </c>
      <c r="I33" s="1">
        <f>G33*H33</f>
        <v>2.8667032964006878</v>
      </c>
      <c r="K33" s="1">
        <f>2*(-0.038+0.057)</f>
        <v>3.8000000000000006E-2</v>
      </c>
      <c r="L33" s="1">
        <f>2*PI()/K33</f>
        <v>165.34698176788382</v>
      </c>
      <c r="M33" s="1">
        <f>-0.05+0.07</f>
        <v>2.0000000000000004E-2</v>
      </c>
      <c r="N33" s="1">
        <f>L33*M33</f>
        <v>3.306939635357677</v>
      </c>
      <c r="P33" s="1">
        <f>2*(-0.042+0.0545)</f>
        <v>2.4999999999999994E-2</v>
      </c>
      <c r="Q33" s="1">
        <f>2*PI()/P33</f>
        <v>251.32741228718351</v>
      </c>
      <c r="R33" s="1">
        <f>-0.056+0.07</f>
        <v>1.4000000000000005E-2</v>
      </c>
      <c r="S33" s="1">
        <f>Q33*R33</f>
        <v>3.5185837720205706</v>
      </c>
      <c r="U33" s="1">
        <f>2*(-0.0415+0.054)</f>
        <v>2.4999999999999994E-2</v>
      </c>
      <c r="V33" s="1">
        <f>2*PI()/U33</f>
        <v>251.32741228718351</v>
      </c>
      <c r="W33" s="1">
        <f>-0.0568+0.07</f>
        <v>1.3200000000000003E-2</v>
      </c>
      <c r="X33" s="1">
        <f>V33*W33</f>
        <v>3.317521842190823</v>
      </c>
    </row>
    <row r="34" spans="1:24" x14ac:dyDescent="0.25">
      <c r="A34" s="1">
        <f>2*(-0.04+0.056)</f>
        <v>3.2000000000000001E-2</v>
      </c>
      <c r="B34" s="1">
        <f>2*PI()/A34</f>
        <v>196.34954084936206</v>
      </c>
      <c r="C34" s="1">
        <f>-0.053+0.07</f>
        <v>1.7000000000000008E-2</v>
      </c>
      <c r="D34" s="1">
        <f>B34*C34</f>
        <v>3.3379421944391567</v>
      </c>
      <c r="F34" s="1">
        <f>2*(-0.041+0.058)</f>
        <v>3.4000000000000002E-2</v>
      </c>
      <c r="G34" s="1">
        <f>2*PI()/F34</f>
        <v>184.7995678582231</v>
      </c>
      <c r="H34" s="1">
        <f>-0.0534+0.07</f>
        <v>1.6600000000000004E-2</v>
      </c>
      <c r="I34" s="1">
        <f>G34*H34</f>
        <v>3.0676728264465041</v>
      </c>
      <c r="K34" s="1">
        <f>2*(-0.0385+0.057)</f>
        <v>3.7000000000000005E-2</v>
      </c>
      <c r="L34" s="1">
        <f>2*PI()/K34</f>
        <v>169.81581911296178</v>
      </c>
      <c r="M34" s="1">
        <f>-0.052+0.07</f>
        <v>1.8000000000000009E-2</v>
      </c>
      <c r="N34" s="1">
        <f>L34*M34</f>
        <v>3.0566847440333134</v>
      </c>
      <c r="P34" s="1">
        <f>2*(-0.0415+0.0545)</f>
        <v>2.5999999999999995E-2</v>
      </c>
      <c r="Q34" s="1">
        <f>2*PI()/P34</f>
        <v>241.66097335306105</v>
      </c>
      <c r="R34" s="1">
        <f>-0.0563+0.07</f>
        <v>1.3700000000000004E-2</v>
      </c>
      <c r="S34" s="1">
        <f>Q34*R34</f>
        <v>3.3107553349369372</v>
      </c>
      <c r="U34" s="1">
        <f>2*(-0.0405+0.054)</f>
        <v>2.6999999999999996E-2</v>
      </c>
      <c r="V34" s="1">
        <f>2*PI()/U34</f>
        <v>232.71056693257731</v>
      </c>
      <c r="W34" s="1">
        <f>-0.0562+0.07</f>
        <v>1.3800000000000007E-2</v>
      </c>
      <c r="X34" s="1">
        <f>V34*W34</f>
        <v>3.2114058236695686</v>
      </c>
    </row>
    <row r="35" spans="1:24" x14ac:dyDescent="0.25">
      <c r="A35" s="1">
        <f t="shared" ref="A35" si="8">2*(-0.041+0.056)</f>
        <v>0.03</v>
      </c>
      <c r="B35" s="1">
        <f t="shared" ref="B35:B37" si="9">2*PI()/A35</f>
        <v>209.43951023931956</v>
      </c>
      <c r="C35" s="1">
        <f>-0.0545+0.07</f>
        <v>1.5500000000000007E-2</v>
      </c>
      <c r="D35" s="1">
        <f t="shared" ref="D35:D37" si="10">B35*C35</f>
        <v>3.2463124087094548</v>
      </c>
      <c r="F35" s="1">
        <f>2*(-0.043+0.058)</f>
        <v>3.0000000000000013E-2</v>
      </c>
      <c r="G35" s="1">
        <f>2*PI()/F35</f>
        <v>209.43951023931945</v>
      </c>
      <c r="H35" s="1">
        <f>-0.0574+0.07</f>
        <v>1.2600000000000007E-2</v>
      </c>
      <c r="I35" s="1">
        <f>G35*H35</f>
        <v>2.6389378290154264</v>
      </c>
      <c r="K35" s="1">
        <f>2*(-0.0377+0.057)</f>
        <v>3.8600000000000009E-2</v>
      </c>
      <c r="L35" s="1">
        <f>2*PI()/K35</f>
        <v>162.77682142952293</v>
      </c>
      <c r="M35" s="1">
        <f>-0.054+0.07</f>
        <v>1.6000000000000007E-2</v>
      </c>
      <c r="N35" s="1">
        <f>L35*M35</f>
        <v>2.6044291428723678</v>
      </c>
      <c r="P35" s="1">
        <f>2*(-0.04+0.0545)</f>
        <v>2.8999999999999998E-2</v>
      </c>
      <c r="Q35" s="1">
        <f>2*PI()/P35</f>
        <v>216.66156231653747</v>
      </c>
      <c r="R35" s="1">
        <f>-0.0558+0.07</f>
        <v>1.4200000000000004E-2</v>
      </c>
      <c r="S35" s="1">
        <f>Q35*R35</f>
        <v>3.0765941848948328</v>
      </c>
      <c r="U35" s="1">
        <f>2*(-0.0275+0.042)</f>
        <v>2.9000000000000005E-2</v>
      </c>
      <c r="V35" s="1">
        <f>2*PI()/U35</f>
        <v>216.66156231653741</v>
      </c>
      <c r="W35" s="1">
        <f>-0.0529+0.07</f>
        <v>1.7100000000000004E-2</v>
      </c>
      <c r="X35" s="1">
        <f>V35*W35</f>
        <v>3.7049127156127906</v>
      </c>
    </row>
    <row r="36" spans="1:24" x14ac:dyDescent="0.25">
      <c r="A36" s="1">
        <f>2*(-0.0415+0.056)</f>
        <v>2.8999999999999998E-2</v>
      </c>
      <c r="B36" s="1">
        <f t="shared" si="9"/>
        <v>216.66156231653747</v>
      </c>
      <c r="C36" s="1">
        <f>-0.0555+0.07</f>
        <v>1.4500000000000006E-2</v>
      </c>
      <c r="D36" s="1">
        <f t="shared" si="10"/>
        <v>3.1415926535897944</v>
      </c>
      <c r="F36" s="1">
        <f>2*(-0.015+0.04)</f>
        <v>0.05</v>
      </c>
      <c r="G36" s="1">
        <f>2*PI()/F36</f>
        <v>125.66370614359172</v>
      </c>
      <c r="H36" s="1">
        <f>-0.04+0.07</f>
        <v>3.0000000000000006E-2</v>
      </c>
      <c r="I36" s="1">
        <f>G36*H36</f>
        <v>3.7699111843077526</v>
      </c>
      <c r="K36" s="1">
        <f>2*(-0.0375+0.057)</f>
        <v>3.9000000000000007E-2</v>
      </c>
      <c r="L36" s="1">
        <f>2*PI()/K36</f>
        <v>161.10731556870732</v>
      </c>
      <c r="M36" s="1">
        <f>-0.0496+0.07</f>
        <v>2.0400000000000008E-2</v>
      </c>
      <c r="N36" s="1">
        <f>L36*M36</f>
        <v>3.2865892376016306</v>
      </c>
      <c r="P36" s="1">
        <f>2*(0.0443-0.0305)</f>
        <v>2.76E-2</v>
      </c>
      <c r="Q36" s="1">
        <f>2*PI()/P36</f>
        <v>227.65164156447776</v>
      </c>
      <c r="R36" s="1">
        <f>-0.056+0.07</f>
        <v>1.4000000000000005E-2</v>
      </c>
      <c r="S36" s="1">
        <f>Q36*R36</f>
        <v>3.1871229819026898</v>
      </c>
      <c r="U36" s="1">
        <f>2*(-0.0274+0.042)</f>
        <v>2.9200000000000004E-2</v>
      </c>
      <c r="V36" s="1">
        <f>2*PI()/U36</f>
        <v>215.1775790129995</v>
      </c>
      <c r="W36" s="1">
        <f>-0.0532+0.07</f>
        <v>1.6800000000000009E-2</v>
      </c>
      <c r="X36" s="1">
        <f>V36*W36</f>
        <v>3.6149833274183938</v>
      </c>
    </row>
    <row r="37" spans="1:24" x14ac:dyDescent="0.25">
      <c r="A37" s="1">
        <f>2*(-0.0406+0.056)</f>
        <v>3.0800000000000008E-2</v>
      </c>
      <c r="B37" s="1">
        <f t="shared" si="9"/>
        <v>203.99952296037611</v>
      </c>
      <c r="C37" s="1">
        <f>-0.0554+0.07</f>
        <v>1.4600000000000009E-2</v>
      </c>
      <c r="D37" s="1">
        <f t="shared" si="10"/>
        <v>2.9783930352214929</v>
      </c>
      <c r="F37" s="1">
        <f>2*(-0.014+0.04)</f>
        <v>5.2000000000000005E-2</v>
      </c>
      <c r="G37" s="1">
        <f>2*PI()/F37</f>
        <v>120.8304866765305</v>
      </c>
      <c r="H37" s="1">
        <f>-0.045+0.07</f>
        <v>2.5000000000000008E-2</v>
      </c>
      <c r="I37" s="1">
        <f>G37*H37</f>
        <v>3.0207621669132636</v>
      </c>
      <c r="K37" s="1">
        <f>2*(-0.0369+0.057)</f>
        <v>4.02E-2</v>
      </c>
      <c r="L37" s="1">
        <f>2*PI()/K37</f>
        <v>156.29814196964145</v>
      </c>
      <c r="M37" s="1">
        <f>-0.0495+0.07</f>
        <v>2.0500000000000004E-2</v>
      </c>
      <c r="N37" s="1">
        <f>L37*M37</f>
        <v>3.2041119103776503</v>
      </c>
      <c r="P37" s="1">
        <f>2*(0.0433-0.0305)</f>
        <v>2.5599999999999998E-2</v>
      </c>
      <c r="Q37" s="1">
        <f>2*PI()/P37</f>
        <v>245.43692606170262</v>
      </c>
      <c r="R37" s="1">
        <f>-0.0567+0.07</f>
        <v>1.3300000000000006E-2</v>
      </c>
      <c r="S37" s="1">
        <f>Q37*R37</f>
        <v>3.2643111166206462</v>
      </c>
      <c r="U37" s="1">
        <f>2*(-0.0268+0.042)</f>
        <v>3.0400000000000003E-2</v>
      </c>
      <c r="V37" s="1">
        <f>2*PI()/U37</f>
        <v>206.68372720985479</v>
      </c>
      <c r="W37" s="1">
        <f>-0.0535+0.07</f>
        <v>1.6500000000000008E-2</v>
      </c>
      <c r="X37" s="1">
        <f>V37*W37</f>
        <v>3.4102814989626058</v>
      </c>
    </row>
    <row r="38" spans="1:24" x14ac:dyDescent="0.25">
      <c r="A38" t="s">
        <v>15</v>
      </c>
      <c r="B38" s="1">
        <f>_xlfn.STDEV.P(B33:B37)</f>
        <v>6.7457402140938862</v>
      </c>
      <c r="C38" s="1">
        <f>_xlfn.STDEV.P(C33:C37)</f>
        <v>1.0571660229122014E-3</v>
      </c>
      <c r="D38" s="1">
        <f>_xlfn.STDEV.P(D33:D37)</f>
        <v>0.15426856128203106</v>
      </c>
      <c r="F38" t="s">
        <v>15</v>
      </c>
      <c r="G38" s="1">
        <f>_xlfn.STDEV.P(G33:G37)</f>
        <v>36.929060975603278</v>
      </c>
      <c r="H38" s="1">
        <f>_xlfn.STDEV.P(H33:H37)</f>
        <v>6.6361434583649499E-3</v>
      </c>
      <c r="I38" s="1">
        <f>_xlfn.STDEV.P(I33:I37)</f>
        <v>0.37931793047038581</v>
      </c>
      <c r="K38" t="s">
        <v>15</v>
      </c>
      <c r="L38" s="1">
        <f>_xlfn.STDEV.P(L33:L37)</f>
        <v>4.4830092944105129</v>
      </c>
      <c r="M38" s="1">
        <f>_xlfn.STDEV.P(M33:M37)</f>
        <v>1.7440183485273304E-3</v>
      </c>
      <c r="N38" s="1">
        <f>_xlfn.STDEV.P(N33:N37)</f>
        <v>0.25907732302983477</v>
      </c>
      <c r="P38" t="s">
        <v>15</v>
      </c>
      <c r="Q38" s="1">
        <f>_xlfn.STDEV.P(Q33:Q37)</f>
        <v>12.634889214432446</v>
      </c>
      <c r="R38" s="1">
        <f>_xlfn.STDEV.P(R33:R37)</f>
        <v>3.1368774282716203E-4</v>
      </c>
      <c r="S38" s="1">
        <f>_xlfn.STDEV.P(S33:S37)</f>
        <v>0.14679973173606775</v>
      </c>
      <c r="U38" t="s">
        <v>15</v>
      </c>
      <c r="V38" s="1">
        <f>_xlfn.STDEV.P(V33:V37)</f>
        <v>15.829661609776501</v>
      </c>
      <c r="W38" s="1">
        <f>_xlfn.STDEV.P(W33:W37)</f>
        <v>1.6387800340497206E-3</v>
      </c>
      <c r="X38" s="1">
        <f>_xlfn.STDEV.P(X33:X37)</f>
        <v>0.18343315542457772</v>
      </c>
    </row>
    <row r="39" spans="1:24" x14ac:dyDescent="0.25">
      <c r="A39" t="s">
        <v>16</v>
      </c>
      <c r="B39" s="4">
        <f>B38/SQRT(5)</f>
        <v>3.0167867354535827</v>
      </c>
      <c r="C39" s="4">
        <f>C38/SQRT(5)</f>
        <v>4.7277901814695648E-4</v>
      </c>
      <c r="D39" s="1">
        <f>D38/SQRT(5)</f>
        <v>6.8990997963542716E-2</v>
      </c>
      <c r="F39" t="s">
        <v>16</v>
      </c>
      <c r="G39" s="4">
        <f>G38/SQRT(5)</f>
        <v>16.515178137336726</v>
      </c>
      <c r="H39" s="4">
        <f>H38/SQRT(5)</f>
        <v>2.9677735762689145E-3</v>
      </c>
      <c r="I39" s="1">
        <f>I38/SQRT(5)</f>
        <v>0.16963613552326429</v>
      </c>
      <c r="K39" t="s">
        <v>16</v>
      </c>
      <c r="L39" s="4">
        <f>L38/SQRT(5)</f>
        <v>2.0048627052130548</v>
      </c>
      <c r="M39" s="4">
        <f>M38/SQRT(5)</f>
        <v>7.7994871626280615E-4</v>
      </c>
      <c r="N39" s="1">
        <f>N38/SQRT(5)</f>
        <v>0.11586290114467646</v>
      </c>
      <c r="P39" t="s">
        <v>16</v>
      </c>
      <c r="Q39" s="4">
        <f>Q38/SQRT(5)</f>
        <v>5.6504942343299733</v>
      </c>
      <c r="R39" s="4">
        <f>R38/SQRT(5)</f>
        <v>1.4028542333400127E-4</v>
      </c>
      <c r="S39" s="1">
        <f>S38/SQRT(5)</f>
        <v>6.5650835848116137E-2</v>
      </c>
      <c r="U39" t="s">
        <v>16</v>
      </c>
      <c r="V39" s="4">
        <f>V38/SQRT(5)</f>
        <v>7.0792398840558004</v>
      </c>
      <c r="W39" s="4">
        <f>W38/SQRT(5)</f>
        <v>7.3288471126091903E-4</v>
      </c>
      <c r="X39" s="1">
        <f>X38/SQRT(5)</f>
        <v>8.2033800971328008E-2</v>
      </c>
    </row>
    <row r="40" spans="1:24" x14ac:dyDescent="0.25">
      <c r="A40" t="s">
        <v>17</v>
      </c>
      <c r="B40" s="5">
        <f>AVERAGE(B33:B37)</f>
        <v>207.17792932098297</v>
      </c>
      <c r="C40" s="5">
        <f>AVERAGE(C33:C37)</f>
        <v>1.5120000000000005E-2</v>
      </c>
      <c r="D40" s="1">
        <f>AVERAGE(D33:D37)</f>
        <v>3.1272786870620748</v>
      </c>
      <c r="F40" t="s">
        <v>17</v>
      </c>
      <c r="G40" s="5">
        <f>AVERAGE(G33:G37)</f>
        <v>167.41656235340537</v>
      </c>
      <c r="H40" s="5">
        <f>AVERAGE(H33:H37)</f>
        <v>1.9760000000000007E-2</v>
      </c>
      <c r="I40" s="1">
        <f>AVERAGE(I33:I37)</f>
        <v>3.072797460616727</v>
      </c>
      <c r="K40" t="s">
        <v>17</v>
      </c>
      <c r="L40" s="5">
        <f>AVERAGE(L33:L37)</f>
        <v>163.06901596974345</v>
      </c>
      <c r="M40" s="5">
        <f>AVERAGE(M33:M37)</f>
        <v>1.8980000000000004E-2</v>
      </c>
      <c r="N40" s="1">
        <f>AVERAGE(N33:N37)</f>
        <v>3.0917509340485276</v>
      </c>
      <c r="P40" t="s">
        <v>17</v>
      </c>
      <c r="Q40" s="5">
        <f>AVERAGE(Q33:Q37)</f>
        <v>236.54770311659249</v>
      </c>
      <c r="R40" s="5">
        <f>AVERAGE(R33:R37)</f>
        <v>1.3840000000000005E-2</v>
      </c>
      <c r="S40" s="1">
        <f>AVERAGE(S33:S37)</f>
        <v>3.2714734780751349</v>
      </c>
      <c r="U40" t="s">
        <v>17</v>
      </c>
      <c r="V40" s="5">
        <f>AVERAGE(V33:V37)</f>
        <v>224.51216955183054</v>
      </c>
      <c r="W40" s="5">
        <f>AVERAGE(W33:W37)</f>
        <v>1.5480000000000004E-2</v>
      </c>
      <c r="X40" s="1">
        <f>AVERAGE(X33:X37)</f>
        <v>3.4518210415708368</v>
      </c>
    </row>
    <row r="46" spans="1:24" x14ac:dyDescent="0.25">
      <c r="A46" s="10" t="s">
        <v>29</v>
      </c>
    </row>
    <row r="47" spans="1:24" x14ac:dyDescent="0.25">
      <c r="A47" s="11" t="s">
        <v>30</v>
      </c>
      <c r="B47" s="11" t="s">
        <v>31</v>
      </c>
      <c r="E47" s="6" t="s">
        <v>32</v>
      </c>
    </row>
    <row r="48" spans="1:24" x14ac:dyDescent="0.25">
      <c r="A48" t="s">
        <v>23</v>
      </c>
      <c r="B48" s="8" t="s">
        <v>24</v>
      </c>
      <c r="C48" s="8" t="s">
        <v>25</v>
      </c>
      <c r="D48" t="s">
        <v>26</v>
      </c>
      <c r="F48" t="s">
        <v>23</v>
      </c>
      <c r="G48" s="8" t="s">
        <v>24</v>
      </c>
      <c r="H48" s="8" t="s">
        <v>25</v>
      </c>
      <c r="I48" t="s">
        <v>26</v>
      </c>
      <c r="K48" t="s">
        <v>23</v>
      </c>
      <c r="L48" s="8" t="s">
        <v>24</v>
      </c>
      <c r="M48" s="8" t="s">
        <v>25</v>
      </c>
      <c r="N48" t="s">
        <v>26</v>
      </c>
      <c r="P48" t="s">
        <v>23</v>
      </c>
      <c r="Q48" s="8" t="s">
        <v>24</v>
      </c>
      <c r="R48" s="8" t="s">
        <v>25</v>
      </c>
      <c r="S48" t="s">
        <v>26</v>
      </c>
      <c r="U48" t="s">
        <v>23</v>
      </c>
      <c r="V48" t="s">
        <v>24</v>
      </c>
      <c r="W48" t="s">
        <v>25</v>
      </c>
      <c r="X48" t="s">
        <v>26</v>
      </c>
    </row>
    <row r="49" spans="1:25" x14ac:dyDescent="0.25">
      <c r="A49">
        <v>7.5882400000000003E-2</v>
      </c>
      <c r="B49" s="1">
        <f>PI()/A49</f>
        <v>41.400807744480844</v>
      </c>
      <c r="C49">
        <v>7.7646999999999994E-2</v>
      </c>
      <c r="D49" s="1">
        <f t="shared" ref="D49:D53" si="11">B49*C49</f>
        <v>3.2146485189357037</v>
      </c>
      <c r="E49" t="s">
        <v>33</v>
      </c>
      <c r="F49">
        <v>6.2300000000000001E-2</v>
      </c>
      <c r="G49" s="1">
        <f>PI()/F49</f>
        <v>50.426848372227816</v>
      </c>
      <c r="H49">
        <v>6.2E-2</v>
      </c>
      <c r="I49" s="1">
        <f>G49*H49</f>
        <v>3.1264645990781248</v>
      </c>
      <c r="J49" t="s">
        <v>34</v>
      </c>
      <c r="K49">
        <v>0.02</v>
      </c>
      <c r="L49" s="1">
        <f>2*PI()/K49</f>
        <v>314.15926535897933</v>
      </c>
      <c r="M49">
        <v>8.8878900000000007E-3</v>
      </c>
      <c r="N49" s="1">
        <f>L49*M49</f>
        <v>2.792212992991419</v>
      </c>
      <c r="O49" t="s">
        <v>35</v>
      </c>
      <c r="P49">
        <f>5.46*0.0254</f>
        <v>0.138684</v>
      </c>
      <c r="Q49" s="1">
        <f t="shared" ref="Q49:Q54" si="12">2*PI()/P49</f>
        <v>45.30576928253862</v>
      </c>
      <c r="R49">
        <f>2.5*0.0254</f>
        <v>6.3500000000000001E-2</v>
      </c>
      <c r="S49" s="1">
        <f t="shared" ref="S49:S54" si="13">Q49*R49</f>
        <v>2.8769163494412022</v>
      </c>
      <c r="T49" t="s">
        <v>36</v>
      </c>
      <c r="U49">
        <v>7.5882400000000003E-2</v>
      </c>
      <c r="V49" s="1">
        <f>PI()/U49</f>
        <v>41.400807744480844</v>
      </c>
      <c r="W49">
        <v>7.7646999999999994E-2</v>
      </c>
      <c r="X49" s="1">
        <f t="shared" ref="X49:X55" si="14">V49*W49</f>
        <v>3.2146485189357037</v>
      </c>
      <c r="Y49" t="s">
        <v>33</v>
      </c>
    </row>
    <row r="50" spans="1:25" x14ac:dyDescent="0.25">
      <c r="A50">
        <v>7.4976500000000001E-2</v>
      </c>
      <c r="B50" s="1">
        <f>PI()/A50</f>
        <v>41.901031037589021</v>
      </c>
      <c r="C50">
        <v>7.6577999999999993E-2</v>
      </c>
      <c r="D50" s="1">
        <f t="shared" si="11"/>
        <v>3.208697154796492</v>
      </c>
      <c r="F50">
        <v>5.7799999999999997E-2</v>
      </c>
      <c r="G50" s="1">
        <f>PI()/F50</f>
        <v>54.352814075947983</v>
      </c>
      <c r="H50">
        <v>5.1999999999999998E-2</v>
      </c>
      <c r="I50" s="1">
        <f>G50*H50</f>
        <v>2.8263463319492947</v>
      </c>
      <c r="K50">
        <v>2.8889000000000001E-2</v>
      </c>
      <c r="L50" s="1">
        <f>2*PI()/K50</f>
        <v>217.49403950221836</v>
      </c>
      <c r="M50">
        <v>1.433333E-2</v>
      </c>
      <c r="N50" s="1">
        <f>L50*M50</f>
        <v>3.1174138412183314</v>
      </c>
      <c r="O50" t="s">
        <v>35</v>
      </c>
      <c r="P50">
        <f>5.44*0.0254</f>
        <v>0.13817599999999999</v>
      </c>
      <c r="Q50" s="1">
        <f t="shared" si="12"/>
        <v>45.47233461078325</v>
      </c>
      <c r="R50">
        <f>2.55*0.0254</f>
        <v>6.4769999999999994E-2</v>
      </c>
      <c r="S50" s="1">
        <f t="shared" si="13"/>
        <v>2.9452431127404308</v>
      </c>
      <c r="U50">
        <v>0.06</v>
      </c>
      <c r="V50" s="1">
        <f>PI()/U50</f>
        <v>52.35987755982989</v>
      </c>
      <c r="W50">
        <v>0.06</v>
      </c>
      <c r="X50" s="1">
        <f t="shared" si="14"/>
        <v>3.1415926535897931</v>
      </c>
      <c r="Y50" t="s">
        <v>34</v>
      </c>
    </row>
    <row r="51" spans="1:25" x14ac:dyDescent="0.25">
      <c r="A51">
        <v>7.8745499999999996E-2</v>
      </c>
      <c r="B51" s="1">
        <f>PI()/A51</f>
        <v>39.895519789572653</v>
      </c>
      <c r="C51">
        <v>7.8765000000000002E-2</v>
      </c>
      <c r="D51" s="1">
        <f t="shared" si="11"/>
        <v>3.1423706162256901</v>
      </c>
      <c r="F51">
        <v>6.1199999999999997E-2</v>
      </c>
      <c r="G51" s="1">
        <f>PI()/F51</f>
        <v>51.33321329395087</v>
      </c>
      <c r="H51">
        <v>6.3E-2</v>
      </c>
      <c r="I51" s="1">
        <f>G51*H51</f>
        <v>3.2339924375189049</v>
      </c>
      <c r="K51">
        <v>2.5647E-2</v>
      </c>
      <c r="L51" s="1">
        <f>2*PI()/K51</f>
        <v>244.98714497522465</v>
      </c>
      <c r="M51">
        <v>9.8876499999999996E-3</v>
      </c>
      <c r="N51" s="1">
        <f>L51*M51</f>
        <v>2.4223471440142799</v>
      </c>
      <c r="P51">
        <f>2.48571429*0.0254</f>
        <v>6.3137142966000009E-2</v>
      </c>
      <c r="Q51" s="1">
        <f t="shared" si="12"/>
        <v>99.516465459375397</v>
      </c>
      <c r="R51">
        <f>1.342857*0.0254</f>
        <v>3.4108567799999996E-2</v>
      </c>
      <c r="S51" s="1">
        <f t="shared" si="13"/>
        <v>3.3943641093374635</v>
      </c>
      <c r="T51" t="s">
        <v>37</v>
      </c>
      <c r="U51">
        <v>0.02</v>
      </c>
      <c r="V51" s="1">
        <f>2*PI()/U51</f>
        <v>314.15926535897933</v>
      </c>
      <c r="W51">
        <v>8.8888999999999999E-3</v>
      </c>
      <c r="X51" s="1">
        <f t="shared" si="14"/>
        <v>2.7925302938494312</v>
      </c>
      <c r="Y51" t="s">
        <v>35</v>
      </c>
    </row>
    <row r="52" spans="1:25" x14ac:dyDescent="0.25">
      <c r="A52">
        <v>7.4855400000000002E-2</v>
      </c>
      <c r="B52" s="1">
        <f>PI()/A52</f>
        <v>41.968817928830696</v>
      </c>
      <c r="C52">
        <v>7.6744999999999994E-2</v>
      </c>
      <c r="D52" s="1">
        <f t="shared" si="11"/>
        <v>3.2208969319481113</v>
      </c>
      <c r="F52">
        <v>5.67E-2</v>
      </c>
      <c r="G52" s="1">
        <f>PI()/F52</f>
        <v>55.407277841089822</v>
      </c>
      <c r="H52">
        <v>6.5000000000000002E-2</v>
      </c>
      <c r="I52" s="1">
        <f>G52*H52</f>
        <v>3.6014730596708384</v>
      </c>
      <c r="K52">
        <v>2.7244999999999998E-2</v>
      </c>
      <c r="L52" s="1">
        <f>2*PI()/K52</f>
        <v>230.6179228181166</v>
      </c>
      <c r="M52">
        <v>1.433333E-2</v>
      </c>
      <c r="N52" s="1">
        <f>L52*M52</f>
        <v>3.3055227916665952</v>
      </c>
      <c r="P52">
        <f>2.36771429*0.0254</f>
        <v>6.0139942965999997E-2</v>
      </c>
      <c r="Q52" s="1">
        <f t="shared" si="12"/>
        <v>104.47607691832653</v>
      </c>
      <c r="R52">
        <f>1.442254*0.0254</f>
        <v>3.66332516E-2</v>
      </c>
      <c r="S52" s="1">
        <f t="shared" si="13"/>
        <v>3.8272984119300082</v>
      </c>
      <c r="U52">
        <v>2.8889000000000001E-2</v>
      </c>
      <c r="V52" s="1">
        <f>2*PI()/U52</f>
        <v>217.49403950221836</v>
      </c>
      <c r="W52">
        <v>1.3333329999999999E-2</v>
      </c>
      <c r="X52" s="1">
        <f t="shared" si="14"/>
        <v>2.8999198017161127</v>
      </c>
      <c r="Y52" t="s">
        <v>35</v>
      </c>
    </row>
    <row r="53" spans="1:25" x14ac:dyDescent="0.25">
      <c r="A53">
        <v>7.6946500000000001E-2</v>
      </c>
      <c r="B53" s="1">
        <f>PI()/A53</f>
        <v>40.828272287755688</v>
      </c>
      <c r="C53">
        <v>7.9873E-2</v>
      </c>
      <c r="D53" s="1">
        <f t="shared" si="11"/>
        <v>3.2610765924399101</v>
      </c>
      <c r="F53">
        <v>5.5899999999999998E-2</v>
      </c>
      <c r="G53" s="1">
        <f>PI()/F53</f>
        <v>56.200226361176981</v>
      </c>
      <c r="H53">
        <v>6.0999999999999999E-2</v>
      </c>
      <c r="I53" s="1">
        <f>G53*H53</f>
        <v>3.4282138080317957</v>
      </c>
      <c r="K53">
        <v>2.6345E-2</v>
      </c>
      <c r="L53" s="1">
        <f>2*PI()/K53</f>
        <v>238.49631076787193</v>
      </c>
      <c r="M53">
        <v>1.378945E-2</v>
      </c>
      <c r="N53" s="1">
        <f>L53*M53</f>
        <v>3.2887329525180315</v>
      </c>
      <c r="P53">
        <f>2.1*0.0254</f>
        <v>5.3339999999999999E-2</v>
      </c>
      <c r="Q53" s="1">
        <f t="shared" si="12"/>
        <v>117.79500013460041</v>
      </c>
      <c r="R53">
        <f>1.1*0.0254</f>
        <v>2.794E-2</v>
      </c>
      <c r="S53" s="1">
        <f t="shared" si="13"/>
        <v>3.2911923037607353</v>
      </c>
      <c r="T53" t="s">
        <v>38</v>
      </c>
      <c r="U53">
        <f>5.46*0.0254</f>
        <v>0.138684</v>
      </c>
      <c r="V53" s="1">
        <f>2*PI()/U53</f>
        <v>45.30576928253862</v>
      </c>
      <c r="W53">
        <f>2.5*0.0254</f>
        <v>6.3500000000000001E-2</v>
      </c>
      <c r="X53" s="1">
        <f t="shared" si="14"/>
        <v>2.8769163494412022</v>
      </c>
      <c r="Y53" t="s">
        <v>36</v>
      </c>
    </row>
    <row r="54" spans="1:25" x14ac:dyDescent="0.25">
      <c r="A54" t="s">
        <v>15</v>
      </c>
      <c r="B54" s="1">
        <f>_xlfn.STDEV.P(B49:B53)</f>
        <v>0.76976531772413403</v>
      </c>
      <c r="C54" s="1">
        <f>_xlfn.STDEV.P(C49:C53)</f>
        <v>1.2477451021743213E-3</v>
      </c>
      <c r="D54" s="1">
        <f>_xlfn.STDEV.P(D49:D53)</f>
        <v>3.8271487332519394E-2</v>
      </c>
      <c r="F54" t="s">
        <v>15</v>
      </c>
      <c r="G54" s="1">
        <f>_xlfn.STDEV.P(G49:G53)</f>
        <v>2.2709352745357685</v>
      </c>
      <c r="H54" s="1">
        <f>_xlfn.STDEV.P(H49:H53)</f>
        <v>4.4988887516807987E-3</v>
      </c>
      <c r="I54" s="1">
        <f>_xlfn.STDEV.P(I49:I53)</f>
        <v>0.26460104307601517</v>
      </c>
      <c r="K54" t="s">
        <v>15</v>
      </c>
      <c r="L54" s="1">
        <f>_xlfn.STDEV.P(L49:L53)</f>
        <v>33.771505012515412</v>
      </c>
      <c r="M54" s="1">
        <f>_xlfn.STDEV.P(M49:M53)</f>
        <v>2.3636771315219849E-3</v>
      </c>
      <c r="N54" s="1">
        <f>_xlfn.STDEV.P(N49:N53)</f>
        <v>0.33653135240153592</v>
      </c>
      <c r="P54">
        <f>2*0.0254</f>
        <v>5.0799999999999998E-2</v>
      </c>
      <c r="Q54" s="1">
        <f t="shared" si="12"/>
        <v>123.68475014133044</v>
      </c>
      <c r="R54">
        <f>0.9*0.0254</f>
        <v>2.2859999999999998E-2</v>
      </c>
      <c r="S54" s="1">
        <f t="shared" si="13"/>
        <v>2.8274333882308138</v>
      </c>
      <c r="U54">
        <f>2.48571429*0.0254</f>
        <v>6.3137142966000009E-2</v>
      </c>
      <c r="V54" s="1">
        <f>2*PI()/U54</f>
        <v>99.516465459375397</v>
      </c>
      <c r="W54">
        <f>1.342857*0.0254</f>
        <v>3.4108567799999996E-2</v>
      </c>
      <c r="X54" s="1">
        <f t="shared" si="14"/>
        <v>3.3943641093374635</v>
      </c>
      <c r="Y54" t="s">
        <v>37</v>
      </c>
    </row>
    <row r="55" spans="1:25" x14ac:dyDescent="0.25">
      <c r="A55" t="s">
        <v>16</v>
      </c>
      <c r="B55" s="4">
        <f>B54/SQRT(5)</f>
        <v>0.34424951543057747</v>
      </c>
      <c r="C55" s="4">
        <f>C54/SQRT(5)</f>
        <v>5.5800857341084054E-4</v>
      </c>
      <c r="D55" s="1">
        <f>D54/SQRT(5)</f>
        <v>1.7115529455107092E-2</v>
      </c>
      <c r="F55" t="s">
        <v>16</v>
      </c>
      <c r="G55" s="4">
        <f>G54/SQRT(5)</f>
        <v>1.0155931292728251</v>
      </c>
      <c r="H55" s="4">
        <f>H54/SQRT(5)</f>
        <v>2.0119642143934875E-3</v>
      </c>
      <c r="I55" s="1">
        <f>I54/SQRT(5)</f>
        <v>0.118333183847064</v>
      </c>
      <c r="K55" t="s">
        <v>16</v>
      </c>
      <c r="L55" s="4">
        <f>L54/SQRT(5)</f>
        <v>15.103076182091868</v>
      </c>
      <c r="M55" s="4">
        <f>M54/SQRT(5)</f>
        <v>1.0570685485889737E-3</v>
      </c>
      <c r="N55" s="1">
        <f>N54/SQRT(5)</f>
        <v>0.15050139610595428</v>
      </c>
      <c r="P55" t="s">
        <v>15</v>
      </c>
      <c r="Q55" s="1">
        <f>_xlfn.STDEV.P(Q49:Q54)</f>
        <v>32.107341664195445</v>
      </c>
      <c r="R55" s="1">
        <f>_xlfn.STDEV.P(R49:R54)</f>
        <v>1.6507699053100445E-2</v>
      </c>
      <c r="S55" s="1">
        <f>_xlfn.STDEV.P(S49:S54)</f>
        <v>0.35295224144117704</v>
      </c>
      <c r="U55">
        <f>2.1*0.0254</f>
        <v>5.3339999999999999E-2</v>
      </c>
      <c r="V55" s="1">
        <f>2*PI()/U55</f>
        <v>117.79500013460041</v>
      </c>
      <c r="W55">
        <f>1.1*0.0254</f>
        <v>2.794E-2</v>
      </c>
      <c r="X55" s="1">
        <f t="shared" si="14"/>
        <v>3.2911923037607353</v>
      </c>
      <c r="Y55" t="s">
        <v>38</v>
      </c>
    </row>
    <row r="56" spans="1:25" x14ac:dyDescent="0.25">
      <c r="A56" t="s">
        <v>17</v>
      </c>
      <c r="B56" s="5">
        <f>AVERAGE(B49:B53)</f>
        <v>41.19888975764578</v>
      </c>
      <c r="C56" s="5">
        <f>AVERAGE(C49:C53)</f>
        <v>7.7921599999999994E-2</v>
      </c>
      <c r="D56" s="1">
        <f>AVERAGE(D49:D53)</f>
        <v>3.2095379628691818</v>
      </c>
      <c r="F56" t="s">
        <v>17</v>
      </c>
      <c r="G56" s="5">
        <f>AVERAGE(G49:G53)</f>
        <v>53.544075988878696</v>
      </c>
      <c r="H56" s="5">
        <f>AVERAGE(H49:H53)</f>
        <v>6.0600000000000001E-2</v>
      </c>
      <c r="I56" s="1">
        <f>AVERAGE(I49:I53)</f>
        <v>3.2432980472497919</v>
      </c>
      <c r="K56" t="s">
        <v>17</v>
      </c>
      <c r="L56" s="5">
        <f>AVERAGE(L49:L53)</f>
        <v>249.15093668448216</v>
      </c>
      <c r="M56" s="5">
        <f>AVERAGE(M49:M53)</f>
        <v>1.224633E-2</v>
      </c>
      <c r="N56" s="1">
        <f>AVERAGE(N49:N53)</f>
        <v>2.9852459444817319</v>
      </c>
      <c r="P56" t="s">
        <v>16</v>
      </c>
      <c r="Q56" s="4">
        <f>Q55/SQRT(6)</f>
        <v>13.107767345746954</v>
      </c>
      <c r="R56" s="4">
        <f>R55/SQRT(6)</f>
        <v>6.7392399179201871E-3</v>
      </c>
      <c r="S56" s="1">
        <f>S55/SQRT(6)</f>
        <v>0.14409214918374916</v>
      </c>
    </row>
    <row r="57" spans="1:25" x14ac:dyDescent="0.25">
      <c r="P57" t="s">
        <v>17</v>
      </c>
      <c r="Q57" s="5">
        <f>AVERAGE(Q50:Q54)</f>
        <v>98.188925452883197</v>
      </c>
      <c r="R57" s="5">
        <f>AVERAGE(R50:R54)</f>
        <v>3.7262363879999996E-2</v>
      </c>
      <c r="S57" s="1">
        <f>AVERAGE(S50:S54)</f>
        <v>3.2571062651998899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2DC7-7365-449B-8618-8EA44DA9B296}">
  <dimension ref="A1:K29"/>
  <sheetViews>
    <sheetView zoomScale="70" zoomScaleNormal="70" workbookViewId="0">
      <selection activeCell="B2" sqref="B2"/>
    </sheetView>
  </sheetViews>
  <sheetFormatPr defaultRowHeight="13.8" x14ac:dyDescent="0.25"/>
  <cols>
    <col min="1" max="3" width="8.88671875" style="13"/>
    <col min="4" max="4" width="11.44140625" style="13" bestFit="1" customWidth="1"/>
    <col min="5" max="6" width="8.88671875" style="13"/>
    <col min="7" max="7" width="10.88671875" style="13" bestFit="1" customWidth="1"/>
    <col min="8" max="8" width="8.88671875" style="13"/>
  </cols>
  <sheetData>
    <row r="1" spans="1:11" x14ac:dyDescent="0.25">
      <c r="A1" s="12" t="s">
        <v>10</v>
      </c>
      <c r="D1" s="12" t="s">
        <v>41</v>
      </c>
      <c r="G1" s="12" t="s">
        <v>42</v>
      </c>
      <c r="J1" s="15" t="s">
        <v>43</v>
      </c>
    </row>
    <row r="2" spans="1:11" x14ac:dyDescent="0.25">
      <c r="A2" s="13" t="s">
        <v>39</v>
      </c>
      <c r="B2" s="14" t="s">
        <v>40</v>
      </c>
      <c r="D2" s="13" t="s">
        <v>39</v>
      </c>
      <c r="E2" s="14" t="s">
        <v>40</v>
      </c>
      <c r="G2" s="13" t="s">
        <v>39</v>
      </c>
      <c r="H2" s="14" t="s">
        <v>40</v>
      </c>
      <c r="J2" s="13" t="s">
        <v>39</v>
      </c>
      <c r="K2" s="14" t="s">
        <v>40</v>
      </c>
    </row>
    <row r="3" spans="1:11" x14ac:dyDescent="0.25">
      <c r="A3" s="13">
        <v>5</v>
      </c>
      <c r="B3" s="13">
        <v>2.8776099999999998</v>
      </c>
      <c r="D3" s="13">
        <v>0.13847999999999999</v>
      </c>
      <c r="E3" s="13">
        <v>3.0617299999999998</v>
      </c>
      <c r="G3" s="13">
        <v>0.1517</v>
      </c>
      <c r="H3" s="13">
        <v>5.4717700000000002</v>
      </c>
      <c r="J3">
        <v>2.12</v>
      </c>
      <c r="K3">
        <v>5.52</v>
      </c>
    </row>
    <row r="4" spans="1:11" x14ac:dyDescent="0.25">
      <c r="A4" s="13">
        <v>6.25</v>
      </c>
      <c r="B4" s="13">
        <v>2.8874</v>
      </c>
      <c r="D4" s="13">
        <v>0.15925</v>
      </c>
      <c r="E4" s="13">
        <v>3.0789499999999999</v>
      </c>
      <c r="G4" s="13">
        <v>0.15246999999999999</v>
      </c>
      <c r="H4" s="13">
        <v>5.4335699999999996</v>
      </c>
      <c r="J4">
        <v>2.0499999999999998</v>
      </c>
      <c r="K4">
        <v>5.21</v>
      </c>
    </row>
    <row r="5" spans="1:11" x14ac:dyDescent="0.25">
      <c r="A5" s="13">
        <v>6.5789499999999999</v>
      </c>
      <c r="B5" s="13">
        <v>2.89724</v>
      </c>
      <c r="D5" s="13">
        <v>0.17737</v>
      </c>
      <c r="E5" s="13">
        <v>3.0914100000000002</v>
      </c>
      <c r="G5" s="13">
        <v>0.16278999999999999</v>
      </c>
      <c r="H5" s="13">
        <v>5.4717700000000002</v>
      </c>
      <c r="J5">
        <v>1.85</v>
      </c>
      <c r="K5">
        <v>4.76</v>
      </c>
    </row>
    <row r="6" spans="1:11" x14ac:dyDescent="0.25">
      <c r="A6" s="13">
        <v>3.14907</v>
      </c>
      <c r="B6" s="13">
        <v>2.8923999999999999</v>
      </c>
      <c r="D6" s="13">
        <v>0.19278000000000001</v>
      </c>
      <c r="E6" s="13">
        <v>3.1105299999999998</v>
      </c>
      <c r="G6" s="13">
        <v>4.9119999999999997E-2</v>
      </c>
      <c r="H6" s="13">
        <v>3.7053500000000001</v>
      </c>
      <c r="J6">
        <v>1.45</v>
      </c>
      <c r="K6">
        <v>4.37</v>
      </c>
    </row>
    <row r="7" spans="1:11" x14ac:dyDescent="0.25">
      <c r="A7" s="13">
        <v>3.6744400000000002</v>
      </c>
      <c r="B7" s="13">
        <v>2.8847</v>
      </c>
      <c r="D7" s="13">
        <v>5.4789999999999998E-2</v>
      </c>
      <c r="E7" s="13">
        <v>3.06549</v>
      </c>
      <c r="G7" s="13">
        <v>0.16582</v>
      </c>
      <c r="H7" s="13">
        <v>4.2337699999999998</v>
      </c>
      <c r="J7">
        <v>1.07</v>
      </c>
      <c r="K7">
        <v>4</v>
      </c>
    </row>
    <row r="8" spans="1:11" x14ac:dyDescent="0.25">
      <c r="A8" s="13">
        <v>4.3581099999999999</v>
      </c>
      <c r="B8" s="13">
        <v>2.9217</v>
      </c>
      <c r="D8" s="13">
        <v>7.6689999999999994E-2</v>
      </c>
      <c r="E8" s="13">
        <v>3.0670999999999999</v>
      </c>
      <c r="G8" s="13">
        <v>0.16599</v>
      </c>
      <c r="H8" s="13">
        <v>4.28653</v>
      </c>
      <c r="J8">
        <v>0.9</v>
      </c>
      <c r="K8">
        <v>3.85</v>
      </c>
    </row>
    <row r="9" spans="1:11" x14ac:dyDescent="0.25">
      <c r="A9" s="13">
        <v>4.55769</v>
      </c>
      <c r="B9" s="13">
        <v>2.9344000000000001</v>
      </c>
      <c r="D9" s="13">
        <v>0.54081999999999997</v>
      </c>
      <c r="E9" s="13">
        <v>3.22322</v>
      </c>
      <c r="G9" s="13">
        <v>0.17619000000000001</v>
      </c>
      <c r="H9" s="13">
        <v>5.2006899999999998</v>
      </c>
      <c r="J9">
        <v>0.72</v>
      </c>
      <c r="K9">
        <v>3.67</v>
      </c>
    </row>
    <row r="10" spans="1:11" x14ac:dyDescent="0.25">
      <c r="A10" s="13">
        <v>1.5979300000000001</v>
      </c>
      <c r="B10" s="13">
        <v>2.8908</v>
      </c>
      <c r="D10" s="13">
        <v>0.15137999999999999</v>
      </c>
      <c r="E10" s="13">
        <v>3.1269999999999998</v>
      </c>
      <c r="G10" s="13">
        <v>0.18873000000000001</v>
      </c>
      <c r="H10" s="13">
        <v>5.6959999999999997</v>
      </c>
      <c r="J10">
        <v>0.56000000000000005</v>
      </c>
      <c r="K10">
        <v>3.5</v>
      </c>
    </row>
    <row r="11" spans="1:11" x14ac:dyDescent="0.25">
      <c r="A11" s="13">
        <v>1.9872099999999999</v>
      </c>
      <c r="B11" s="13">
        <v>2.9180000000000001</v>
      </c>
      <c r="D11" s="13">
        <v>0.18225</v>
      </c>
      <c r="E11" s="13">
        <v>3.1105299999999998</v>
      </c>
      <c r="G11" s="13">
        <v>0.18967999999999999</v>
      </c>
      <c r="H11" s="13">
        <v>6.40923</v>
      </c>
      <c r="J11">
        <v>0.35</v>
      </c>
      <c r="K11">
        <v>3.3</v>
      </c>
    </row>
    <row r="12" spans="1:11" x14ac:dyDescent="0.25">
      <c r="A12" s="13">
        <v>2.4224399999999999</v>
      </c>
      <c r="B12" s="13">
        <v>2.9338000000000002</v>
      </c>
      <c r="D12" s="13">
        <v>0.24212</v>
      </c>
      <c r="E12" s="13">
        <v>3.09958</v>
      </c>
      <c r="G12" s="13">
        <v>0.19855999999999999</v>
      </c>
      <c r="H12" s="13">
        <v>6.4093</v>
      </c>
      <c r="J12">
        <v>0.218</v>
      </c>
      <c r="K12">
        <v>3.15</v>
      </c>
    </row>
    <row r="13" spans="1:11" x14ac:dyDescent="0.25">
      <c r="D13" s="13">
        <v>0.32601000000000002</v>
      </c>
      <c r="E13" s="13">
        <v>3.0670999999999999</v>
      </c>
      <c r="G13" s="13">
        <v>0.20268</v>
      </c>
      <c r="H13" s="13">
        <v>6.4828700000000001</v>
      </c>
      <c r="J13">
        <v>0.123</v>
      </c>
      <c r="K13">
        <v>3.07</v>
      </c>
    </row>
    <row r="14" spans="1:11" x14ac:dyDescent="0.25">
      <c r="D14" s="13">
        <v>0.30541000000000001</v>
      </c>
      <c r="E14" s="13">
        <v>3.1215299999999999</v>
      </c>
      <c r="G14" s="13">
        <v>0.14895</v>
      </c>
      <c r="H14" s="13">
        <v>5.45899</v>
      </c>
      <c r="J14">
        <v>5.7000000000000002E-2</v>
      </c>
      <c r="K14">
        <v>3.04</v>
      </c>
    </row>
    <row r="15" spans="1:11" x14ac:dyDescent="0.25">
      <c r="D15" s="13">
        <v>0.22675000000000001</v>
      </c>
      <c r="E15" s="13">
        <v>3.0886999999999998</v>
      </c>
      <c r="G15" s="13">
        <v>0.15994</v>
      </c>
      <c r="H15" s="13">
        <v>4.1879799999999996</v>
      </c>
      <c r="J15">
        <v>0.01</v>
      </c>
      <c r="K15">
        <v>3.02</v>
      </c>
    </row>
    <row r="16" spans="1:11" x14ac:dyDescent="0.25">
      <c r="D16" s="13">
        <v>0.12028</v>
      </c>
      <c r="E16" s="13">
        <v>3.0407000000000002</v>
      </c>
      <c r="G16" s="13">
        <v>0.23304</v>
      </c>
      <c r="H16" s="13">
        <v>4.5589000000000004</v>
      </c>
    </row>
    <row r="17" spans="4:8" x14ac:dyDescent="0.25">
      <c r="D17" s="13">
        <v>8.09E-2</v>
      </c>
      <c r="E17" s="13">
        <v>3.0062500000000001</v>
      </c>
      <c r="G17" s="13">
        <v>0.42032000000000003</v>
      </c>
      <c r="H17" s="13">
        <v>4.4880199999999997</v>
      </c>
    </row>
    <row r="18" spans="4:8" x14ac:dyDescent="0.25">
      <c r="D18" s="13">
        <v>0.19805</v>
      </c>
      <c r="E18" s="13">
        <v>3.0832799999999998</v>
      </c>
      <c r="G18" s="13">
        <v>1.4012</v>
      </c>
      <c r="H18" s="13">
        <v>5.3536999999999999</v>
      </c>
    </row>
    <row r="19" spans="4:8" x14ac:dyDescent="0.25">
      <c r="D19" s="13">
        <v>0.30397000000000002</v>
      </c>
      <c r="E19" s="13">
        <v>3.0697899999999998</v>
      </c>
      <c r="G19" s="13">
        <v>1.39777</v>
      </c>
      <c r="H19" s="13">
        <v>4.6990999999999996</v>
      </c>
    </row>
    <row r="20" spans="4:8" x14ac:dyDescent="0.25">
      <c r="D20" s="13">
        <v>0.26545999999999997</v>
      </c>
      <c r="E20" s="13">
        <v>3.1547100000000001</v>
      </c>
      <c r="G20" s="13">
        <v>0.47228999999999999</v>
      </c>
      <c r="H20" s="13">
        <v>3.8132999999999999</v>
      </c>
    </row>
    <row r="21" spans="4:8" x14ac:dyDescent="0.25">
      <c r="D21" s="13">
        <v>0.41596</v>
      </c>
      <c r="E21" s="13">
        <v>3.19875</v>
      </c>
      <c r="G21" s="13">
        <v>0.48179</v>
      </c>
      <c r="H21" s="13">
        <v>3.8031000000000001</v>
      </c>
    </row>
    <row r="22" spans="4:8" x14ac:dyDescent="0.25">
      <c r="D22" s="13">
        <v>1.78799</v>
      </c>
      <c r="E22" s="13">
        <v>3.8321999999999998</v>
      </c>
      <c r="G22" s="13">
        <v>0.47278999999999999</v>
      </c>
      <c r="H22" s="13">
        <v>3.9397000000000002</v>
      </c>
    </row>
    <row r="23" spans="4:8" x14ac:dyDescent="0.25">
      <c r="D23" s="13">
        <v>0.31485000000000002</v>
      </c>
      <c r="E23" s="13">
        <v>3.2211500000000002</v>
      </c>
      <c r="G23" s="13">
        <v>0.47531000000000001</v>
      </c>
      <c r="H23" s="13">
        <v>3.9796</v>
      </c>
    </row>
    <row r="24" spans="4:8" x14ac:dyDescent="0.25">
      <c r="D24" s="13">
        <v>0.44480999999999998</v>
      </c>
      <c r="E24" s="13">
        <v>3.2473999999999998</v>
      </c>
    </row>
    <row r="25" spans="4:8" x14ac:dyDescent="0.25">
      <c r="D25" s="13">
        <v>1.8692899999999999</v>
      </c>
      <c r="E25" s="13">
        <v>3.7147000000000001</v>
      </c>
    </row>
    <row r="26" spans="4:8" x14ac:dyDescent="0.25">
      <c r="D26" s="13">
        <v>0.50463000000000002</v>
      </c>
      <c r="E26" s="13">
        <v>3.3652000000000002</v>
      </c>
    </row>
    <row r="27" spans="4:8" x14ac:dyDescent="0.25">
      <c r="D27" s="13">
        <v>0.99919999999999998</v>
      </c>
      <c r="E27" s="13">
        <v>3.8210999999999999</v>
      </c>
    </row>
    <row r="28" spans="4:8" x14ac:dyDescent="0.25">
      <c r="D28" s="13">
        <v>0.5282</v>
      </c>
      <c r="E28" s="13">
        <v>3.4557000000000002</v>
      </c>
    </row>
    <row r="29" spans="4:8" x14ac:dyDescent="0.25">
      <c r="D29" s="13">
        <v>0.65771000000000002</v>
      </c>
      <c r="E29" s="13">
        <v>3.4998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DB81-ACF5-448E-8737-8EDE3A711093}">
  <dimension ref="A1:V102"/>
  <sheetViews>
    <sheetView tabSelected="1" zoomScale="55" zoomScaleNormal="55" workbookViewId="0">
      <selection activeCell="T25" sqref="T25"/>
    </sheetView>
  </sheetViews>
  <sheetFormatPr defaultRowHeight="13.8" x14ac:dyDescent="0.25"/>
  <cols>
    <col min="21" max="21" width="10.33203125" bestFit="1" customWidth="1"/>
  </cols>
  <sheetData>
    <row r="1" spans="1:22" x14ac:dyDescent="0.25">
      <c r="A1" s="10" t="s">
        <v>44</v>
      </c>
      <c r="E1" s="10" t="s">
        <v>45</v>
      </c>
      <c r="I1" s="10" t="s">
        <v>48</v>
      </c>
      <c r="M1" s="10" t="s">
        <v>49</v>
      </c>
      <c r="Q1" s="10" t="s">
        <v>50</v>
      </c>
      <c r="U1" s="15" t="s">
        <v>51</v>
      </c>
    </row>
    <row r="2" spans="1:22" x14ac:dyDescent="0.25">
      <c r="A2" t="s">
        <v>39</v>
      </c>
      <c r="B2" s="14" t="s">
        <v>47</v>
      </c>
      <c r="C2" s="14" t="s">
        <v>46</v>
      </c>
      <c r="E2" t="s">
        <v>39</v>
      </c>
      <c r="F2" s="14" t="s">
        <v>47</v>
      </c>
      <c r="G2" s="14" t="s">
        <v>46</v>
      </c>
      <c r="I2" t="s">
        <v>39</v>
      </c>
      <c r="J2" s="14" t="s">
        <v>47</v>
      </c>
      <c r="K2" s="14" t="s">
        <v>46</v>
      </c>
      <c r="M2" t="s">
        <v>39</v>
      </c>
      <c r="N2" s="14" t="s">
        <v>47</v>
      </c>
      <c r="O2" s="14" t="s">
        <v>46</v>
      </c>
      <c r="Q2" t="s">
        <v>39</v>
      </c>
      <c r="R2" s="14" t="s">
        <v>47</v>
      </c>
      <c r="S2" s="14" t="s">
        <v>46</v>
      </c>
      <c r="U2" t="s">
        <v>39</v>
      </c>
      <c r="V2" s="14" t="s">
        <v>40</v>
      </c>
    </row>
    <row r="3" spans="1:22" x14ac:dyDescent="0.25">
      <c r="A3">
        <v>9.6540000000000001E-2</v>
      </c>
      <c r="B3">
        <v>1.1811400000000001</v>
      </c>
      <c r="C3">
        <v>3.1836099999999998</v>
      </c>
      <c r="E3">
        <v>0.52871999999999997</v>
      </c>
      <c r="F3">
        <v>1.80507</v>
      </c>
      <c r="G3">
        <v>3.7286700000000002</v>
      </c>
      <c r="I3">
        <v>1.2547999999999999</v>
      </c>
      <c r="J3">
        <v>2.50726</v>
      </c>
      <c r="K3">
        <v>4.6784699999999999</v>
      </c>
      <c r="M3">
        <v>2.0608900000000001</v>
      </c>
      <c r="N3">
        <v>3.7308500000000002</v>
      </c>
      <c r="O3">
        <v>5.5946699999999998</v>
      </c>
      <c r="Q3">
        <v>3.3669799999999999</v>
      </c>
      <c r="R3">
        <v>5.7764800000000003</v>
      </c>
      <c r="S3">
        <v>7.27569</v>
      </c>
      <c r="U3">
        <v>0.15342</v>
      </c>
      <c r="V3">
        <v>3.1356899999999999</v>
      </c>
    </row>
    <row r="4" spans="1:22" x14ac:dyDescent="0.25">
      <c r="A4">
        <v>9.8809999999999995E-2</v>
      </c>
      <c r="B4">
        <v>1.20499</v>
      </c>
      <c r="C4">
        <v>3.18167</v>
      </c>
      <c r="E4">
        <v>0.53673000000000004</v>
      </c>
      <c r="F4">
        <v>1.87079</v>
      </c>
      <c r="G4">
        <v>3.7200299999999999</v>
      </c>
      <c r="I4">
        <v>1.2702899999999999</v>
      </c>
      <c r="J4">
        <v>2.61232</v>
      </c>
      <c r="K4">
        <v>4.6550500000000001</v>
      </c>
      <c r="M4">
        <v>2.0817100000000002</v>
      </c>
      <c r="N4">
        <v>3.8953099999999998</v>
      </c>
      <c r="O4">
        <v>5.5535800000000002</v>
      </c>
      <c r="Q4">
        <v>3.3948100000000001</v>
      </c>
      <c r="R4">
        <v>6.0098700000000003</v>
      </c>
      <c r="S4">
        <v>7.1944600000000003</v>
      </c>
      <c r="U4">
        <v>0.65688999999999997</v>
      </c>
      <c r="V4">
        <v>3.5940099999999999</v>
      </c>
    </row>
    <row r="5" spans="1:22" x14ac:dyDescent="0.25">
      <c r="A5">
        <v>0.10109</v>
      </c>
      <c r="B5">
        <v>1.23109</v>
      </c>
      <c r="C5">
        <v>3.1797399999999998</v>
      </c>
      <c r="E5">
        <v>0.54474</v>
      </c>
      <c r="F5">
        <v>1.94112</v>
      </c>
      <c r="G5">
        <v>3.71143</v>
      </c>
      <c r="I5">
        <v>1.28579</v>
      </c>
      <c r="J5">
        <v>2.7241</v>
      </c>
      <c r="K5">
        <v>4.6318000000000001</v>
      </c>
      <c r="M5">
        <v>2.1025299999999998</v>
      </c>
      <c r="N5">
        <v>4.0686299999999997</v>
      </c>
      <c r="O5">
        <v>5.5129299999999999</v>
      </c>
      <c r="Q5">
        <v>3.4226399999999999</v>
      </c>
      <c r="R5">
        <v>6.2505800000000002</v>
      </c>
      <c r="S5">
        <v>7.1145899999999997</v>
      </c>
      <c r="U5">
        <v>1.44845</v>
      </c>
      <c r="V5">
        <v>4.39785</v>
      </c>
    </row>
    <row r="6" spans="1:22" x14ac:dyDescent="0.25">
      <c r="A6">
        <v>0.10335999999999999</v>
      </c>
      <c r="B6">
        <v>1.25962</v>
      </c>
      <c r="C6">
        <v>3.1778</v>
      </c>
      <c r="E6">
        <v>0.55274999999999996</v>
      </c>
      <c r="F6">
        <v>2.0164</v>
      </c>
      <c r="G6">
        <v>3.7028500000000002</v>
      </c>
      <c r="I6">
        <v>1.30128</v>
      </c>
      <c r="J6">
        <v>2.8429899999999999</v>
      </c>
      <c r="K6">
        <v>4.6087199999999999</v>
      </c>
      <c r="M6">
        <v>2.1233499999999998</v>
      </c>
      <c r="N6">
        <v>4.2511200000000002</v>
      </c>
      <c r="O6">
        <v>5.4727399999999999</v>
      </c>
      <c r="Q6">
        <v>3.4504600000000001</v>
      </c>
      <c r="R6">
        <v>6.4981499999999999</v>
      </c>
      <c r="S6">
        <v>7.0360399999999998</v>
      </c>
      <c r="U6">
        <v>2.22743</v>
      </c>
      <c r="V6">
        <v>5.2781900000000004</v>
      </c>
    </row>
    <row r="7" spans="1:22" x14ac:dyDescent="0.25">
      <c r="A7">
        <v>0.10564</v>
      </c>
      <c r="B7">
        <v>1.2907500000000001</v>
      </c>
      <c r="C7">
        <v>3.1758700000000002</v>
      </c>
      <c r="E7">
        <v>0.56076000000000004</v>
      </c>
      <c r="F7">
        <v>2.0969500000000001</v>
      </c>
      <c r="G7">
        <v>3.6943000000000001</v>
      </c>
      <c r="I7">
        <v>1.31677</v>
      </c>
      <c r="J7">
        <v>2.96943</v>
      </c>
      <c r="K7">
        <v>4.5858100000000004</v>
      </c>
      <c r="M7">
        <v>2.1441599999999998</v>
      </c>
      <c r="N7">
        <v>4.44306</v>
      </c>
      <c r="O7">
        <v>5.4329799999999997</v>
      </c>
      <c r="Q7">
        <v>3.4782899999999999</v>
      </c>
      <c r="R7">
        <v>6.7519900000000002</v>
      </c>
      <c r="S7">
        <v>6.95878</v>
      </c>
      <c r="U7">
        <v>3.4922</v>
      </c>
      <c r="V7">
        <v>6.9207900000000002</v>
      </c>
    </row>
    <row r="8" spans="1:22" x14ac:dyDescent="0.25">
      <c r="A8">
        <v>0.10791000000000001</v>
      </c>
      <c r="B8">
        <v>1.3246500000000001</v>
      </c>
      <c r="C8">
        <v>3.17394</v>
      </c>
      <c r="E8">
        <v>0.56877</v>
      </c>
      <c r="F8">
        <v>2.1831499999999999</v>
      </c>
      <c r="G8">
        <v>3.6857899999999999</v>
      </c>
      <c r="I8">
        <v>1.33226</v>
      </c>
      <c r="J8">
        <v>3.1038700000000001</v>
      </c>
      <c r="K8">
        <v>4.5630800000000002</v>
      </c>
      <c r="M8">
        <v>2.1649799999999999</v>
      </c>
      <c r="N8">
        <v>4.6447000000000003</v>
      </c>
      <c r="O8">
        <v>5.3936500000000001</v>
      </c>
      <c r="Q8">
        <v>3.5061200000000001</v>
      </c>
      <c r="R8">
        <v>7.0113399999999997</v>
      </c>
      <c r="S8">
        <v>6.88279</v>
      </c>
    </row>
    <row r="9" spans="1:22" x14ac:dyDescent="0.25">
      <c r="A9">
        <v>0.11019</v>
      </c>
      <c r="B9">
        <v>1.3615200000000001</v>
      </c>
      <c r="C9">
        <v>3.1720100000000002</v>
      </c>
      <c r="E9">
        <v>0.57677999999999996</v>
      </c>
      <c r="F9">
        <v>2.2753999999999999</v>
      </c>
      <c r="G9">
        <v>3.6772999999999998</v>
      </c>
      <c r="I9">
        <v>1.34775</v>
      </c>
      <c r="J9">
        <v>3.2467600000000001</v>
      </c>
      <c r="K9">
        <v>4.5405100000000003</v>
      </c>
      <c r="M9">
        <v>2.1858</v>
      </c>
      <c r="N9">
        <v>4.8562200000000004</v>
      </c>
      <c r="O9">
        <v>5.3547500000000001</v>
      </c>
      <c r="Q9">
        <v>3.5339399999999999</v>
      </c>
      <c r="R9">
        <v>7.2752999999999997</v>
      </c>
      <c r="S9">
        <v>6.8080299999999996</v>
      </c>
    </row>
    <row r="10" spans="1:22" x14ac:dyDescent="0.25">
      <c r="A10">
        <v>0.11246</v>
      </c>
      <c r="B10">
        <v>1.4016</v>
      </c>
      <c r="C10">
        <v>3.1700900000000001</v>
      </c>
      <c r="E10">
        <v>0.58479000000000003</v>
      </c>
      <c r="F10">
        <v>2.3741099999999999</v>
      </c>
      <c r="G10">
        <v>3.6688399999999999</v>
      </c>
      <c r="I10">
        <v>1.36324</v>
      </c>
      <c r="J10">
        <v>3.3985599999999998</v>
      </c>
      <c r="K10">
        <v>4.5181100000000001</v>
      </c>
      <c r="M10">
        <v>2.20661</v>
      </c>
      <c r="N10">
        <v>5.0777299999999999</v>
      </c>
      <c r="O10">
        <v>5.3162599999999998</v>
      </c>
      <c r="Q10">
        <v>3.5617700000000001</v>
      </c>
      <c r="R10">
        <v>7.5428100000000002</v>
      </c>
      <c r="S10">
        <v>6.7344900000000001</v>
      </c>
    </row>
    <row r="11" spans="1:22" x14ac:dyDescent="0.25">
      <c r="A11">
        <v>0.11473999999999999</v>
      </c>
      <c r="B11">
        <v>1.4451099999999999</v>
      </c>
      <c r="C11">
        <v>3.1681599999999999</v>
      </c>
      <c r="E11">
        <v>0.59279999999999999</v>
      </c>
      <c r="F11">
        <v>2.4797400000000001</v>
      </c>
      <c r="G11">
        <v>3.6604100000000002</v>
      </c>
      <c r="I11">
        <v>1.37873</v>
      </c>
      <c r="J11">
        <v>3.5597599999999998</v>
      </c>
      <c r="K11">
        <v>4.4958799999999997</v>
      </c>
      <c r="M11">
        <v>2.22743</v>
      </c>
      <c r="N11">
        <v>5.3092600000000001</v>
      </c>
      <c r="O11">
        <v>5.2781900000000004</v>
      </c>
      <c r="Q11">
        <v>3.5895999999999999</v>
      </c>
      <c r="R11">
        <v>7.8126199999999999</v>
      </c>
      <c r="S11">
        <v>6.6621300000000003</v>
      </c>
    </row>
    <row r="12" spans="1:22" x14ac:dyDescent="0.25">
      <c r="A12">
        <v>0.11701</v>
      </c>
      <c r="B12">
        <v>1.4923200000000001</v>
      </c>
      <c r="C12">
        <v>3.1662400000000002</v>
      </c>
      <c r="E12">
        <v>0.60080999999999996</v>
      </c>
      <c r="F12">
        <v>2.5927500000000001</v>
      </c>
      <c r="G12">
        <v>3.6520100000000002</v>
      </c>
      <c r="I12">
        <v>1.3942300000000001</v>
      </c>
      <c r="J12">
        <v>3.73082</v>
      </c>
      <c r="K12">
        <v>4.4738100000000003</v>
      </c>
      <c r="M12">
        <v>2.2482500000000001</v>
      </c>
      <c r="N12">
        <v>5.5507600000000004</v>
      </c>
      <c r="O12">
        <v>5.2405299999999997</v>
      </c>
      <c r="Q12">
        <v>3.6174200000000001</v>
      </c>
      <c r="R12">
        <v>8.0833200000000005</v>
      </c>
      <c r="S12">
        <v>6.5909300000000002</v>
      </c>
    </row>
    <row r="13" spans="1:22" x14ac:dyDescent="0.25">
      <c r="A13">
        <v>0.11928999999999999</v>
      </c>
      <c r="B13">
        <v>1.5435000000000001</v>
      </c>
      <c r="C13">
        <v>3.16431</v>
      </c>
      <c r="E13">
        <v>0.60882000000000003</v>
      </c>
      <c r="F13">
        <v>2.71367</v>
      </c>
      <c r="G13">
        <v>3.64364</v>
      </c>
      <c r="I13">
        <v>1.4097200000000001</v>
      </c>
      <c r="J13">
        <v>3.9121999999999999</v>
      </c>
      <c r="K13">
        <v>4.4519000000000002</v>
      </c>
      <c r="M13">
        <v>2.2690700000000001</v>
      </c>
      <c r="N13">
        <v>5.8020300000000002</v>
      </c>
      <c r="O13">
        <v>5.2032699999999998</v>
      </c>
      <c r="Q13">
        <v>3.6452499999999999</v>
      </c>
      <c r="R13">
        <v>8.3533299999999997</v>
      </c>
      <c r="S13">
        <v>6.5208700000000004</v>
      </c>
    </row>
    <row r="14" spans="1:22" x14ac:dyDescent="0.25">
      <c r="A14">
        <v>0.12156</v>
      </c>
      <c r="B14">
        <v>1.5989599999999999</v>
      </c>
      <c r="C14">
        <v>3.1623899999999998</v>
      </c>
      <c r="E14">
        <v>0.61684000000000005</v>
      </c>
      <c r="F14">
        <v>2.8430200000000001</v>
      </c>
      <c r="G14">
        <v>3.6352899999999999</v>
      </c>
      <c r="I14">
        <v>1.4252100000000001</v>
      </c>
      <c r="J14">
        <v>4.1043500000000002</v>
      </c>
      <c r="K14">
        <v>4.4301599999999999</v>
      </c>
      <c r="M14">
        <v>2.2898800000000001</v>
      </c>
      <c r="N14">
        <v>6.0627199999999997</v>
      </c>
      <c r="O14">
        <v>5.1664000000000003</v>
      </c>
      <c r="Q14">
        <v>3.6730700000000001</v>
      </c>
      <c r="R14">
        <v>8.6209199999999999</v>
      </c>
      <c r="S14">
        <v>6.4519200000000003</v>
      </c>
    </row>
    <row r="15" spans="1:22" x14ac:dyDescent="0.25">
      <c r="A15">
        <v>0.12384000000000001</v>
      </c>
      <c r="B15">
        <v>1.6590400000000001</v>
      </c>
      <c r="C15">
        <v>3.1604800000000002</v>
      </c>
      <c r="E15">
        <v>0.62485000000000002</v>
      </c>
      <c r="F15">
        <v>2.9813399999999999</v>
      </c>
      <c r="G15">
        <v>3.6269800000000001</v>
      </c>
      <c r="I15">
        <v>1.4407000000000001</v>
      </c>
      <c r="J15">
        <v>4.3076600000000003</v>
      </c>
      <c r="K15">
        <v>4.4085700000000001</v>
      </c>
      <c r="M15">
        <v>2.3107000000000002</v>
      </c>
      <c r="N15">
        <v>6.3323499999999999</v>
      </c>
      <c r="O15">
        <v>5.1299299999999999</v>
      </c>
      <c r="Q15">
        <v>3.7008999999999999</v>
      </c>
      <c r="R15">
        <v>8.8841999999999999</v>
      </c>
      <c r="S15">
        <v>6.3840500000000002</v>
      </c>
    </row>
    <row r="16" spans="1:22" x14ac:dyDescent="0.25">
      <c r="A16">
        <v>0.12611</v>
      </c>
      <c r="B16">
        <v>1.7241</v>
      </c>
      <c r="C16">
        <v>3.15856</v>
      </c>
      <c r="E16">
        <v>0.63285999999999998</v>
      </c>
      <c r="F16">
        <v>3.1292399999999998</v>
      </c>
      <c r="G16">
        <v>3.61869</v>
      </c>
      <c r="I16">
        <v>1.4561900000000001</v>
      </c>
      <c r="J16">
        <v>4.5225099999999996</v>
      </c>
      <c r="K16">
        <v>4.3871399999999996</v>
      </c>
      <c r="M16">
        <v>2.3315199999999998</v>
      </c>
      <c r="N16">
        <v>6.61022</v>
      </c>
      <c r="O16">
        <v>5.0938400000000001</v>
      </c>
      <c r="Q16">
        <v>3.7287300000000001</v>
      </c>
      <c r="R16">
        <v>9.1411599999999993</v>
      </c>
      <c r="S16">
        <v>6.3172600000000001</v>
      </c>
    </row>
    <row r="17" spans="1:19" x14ac:dyDescent="0.25">
      <c r="A17">
        <v>0.12839</v>
      </c>
      <c r="B17">
        <v>1.79453</v>
      </c>
      <c r="C17">
        <v>3.1566399999999999</v>
      </c>
      <c r="E17">
        <v>0.64087000000000005</v>
      </c>
      <c r="F17">
        <v>3.28729</v>
      </c>
      <c r="G17">
        <v>3.6104400000000001</v>
      </c>
      <c r="I17">
        <v>1.4716800000000001</v>
      </c>
      <c r="J17">
        <v>4.7491700000000003</v>
      </c>
      <c r="K17">
        <v>4.3658599999999996</v>
      </c>
      <c r="M17">
        <v>2.3523299999999998</v>
      </c>
      <c r="N17">
        <v>6.8954300000000002</v>
      </c>
      <c r="O17">
        <v>5.0581300000000002</v>
      </c>
      <c r="Q17">
        <v>3.7565499999999998</v>
      </c>
      <c r="R17">
        <v>9.3897200000000005</v>
      </c>
      <c r="S17">
        <v>6.2515000000000001</v>
      </c>
    </row>
    <row r="18" spans="1:19" x14ac:dyDescent="0.25">
      <c r="A18">
        <v>0.13067000000000001</v>
      </c>
      <c r="B18">
        <v>1.8707800000000001</v>
      </c>
      <c r="C18">
        <v>3.1547299999999998</v>
      </c>
      <c r="E18">
        <v>0.64888000000000001</v>
      </c>
      <c r="F18">
        <v>3.4561000000000002</v>
      </c>
      <c r="G18">
        <v>3.6022099999999999</v>
      </c>
      <c r="I18">
        <v>1.4871700000000001</v>
      </c>
      <c r="J18">
        <v>4.9878799999999996</v>
      </c>
      <c r="K18">
        <v>4.3447399999999998</v>
      </c>
      <c r="M18">
        <v>2.3731499999999999</v>
      </c>
      <c r="N18">
        <v>7.1868499999999997</v>
      </c>
      <c r="O18">
        <v>5.0228000000000002</v>
      </c>
      <c r="Q18">
        <v>3.7843800000000001</v>
      </c>
      <c r="R18">
        <v>9.6277200000000001</v>
      </c>
      <c r="S18">
        <v>6.1867700000000001</v>
      </c>
    </row>
    <row r="19" spans="1:19" x14ac:dyDescent="0.25">
      <c r="A19">
        <v>0.13294</v>
      </c>
      <c r="B19">
        <v>1.9533100000000001</v>
      </c>
      <c r="C19">
        <v>3.1528200000000002</v>
      </c>
      <c r="E19">
        <v>0.65688999999999997</v>
      </c>
      <c r="F19">
        <v>3.6362999999999999</v>
      </c>
      <c r="G19">
        <v>3.5940099999999999</v>
      </c>
      <c r="I19">
        <v>1.5026600000000001</v>
      </c>
      <c r="J19">
        <v>5.2387100000000002</v>
      </c>
      <c r="K19">
        <v>4.3237699999999997</v>
      </c>
      <c r="M19">
        <v>2.3939699999999999</v>
      </c>
      <c r="N19">
        <v>7.4831000000000003</v>
      </c>
      <c r="O19">
        <v>4.9878299999999998</v>
      </c>
      <c r="Q19">
        <v>3.8122099999999999</v>
      </c>
      <c r="R19">
        <v>9.8530200000000008</v>
      </c>
      <c r="S19">
        <v>6.12303</v>
      </c>
    </row>
    <row r="20" spans="1:19" x14ac:dyDescent="0.25">
      <c r="A20">
        <v>0.13522000000000001</v>
      </c>
      <c r="B20">
        <v>2.0426299999999999</v>
      </c>
      <c r="C20">
        <v>3.1509100000000001</v>
      </c>
      <c r="E20">
        <v>0.66490000000000005</v>
      </c>
      <c r="F20">
        <v>3.8284899999999999</v>
      </c>
      <c r="G20">
        <v>3.5858300000000001</v>
      </c>
      <c r="I20">
        <v>1.51816</v>
      </c>
      <c r="J20">
        <v>5.5016299999999996</v>
      </c>
      <c r="K20">
        <v>4.3029599999999997</v>
      </c>
      <c r="M20">
        <v>2.41479</v>
      </c>
      <c r="N20">
        <v>7.7825499999999996</v>
      </c>
      <c r="O20">
        <v>4.9532299999999996</v>
      </c>
      <c r="Q20">
        <v>3.8400300000000001</v>
      </c>
      <c r="R20">
        <v>10.063510000000001</v>
      </c>
      <c r="S20">
        <v>6.0602799999999997</v>
      </c>
    </row>
    <row r="21" spans="1:19" x14ac:dyDescent="0.25">
      <c r="A21">
        <v>0.13749</v>
      </c>
      <c r="B21">
        <v>2.13931</v>
      </c>
      <c r="C21">
        <v>3.149</v>
      </c>
      <c r="E21">
        <v>0.67291000000000001</v>
      </c>
      <c r="F21">
        <v>4.0332499999999998</v>
      </c>
      <c r="G21">
        <v>3.57769</v>
      </c>
      <c r="I21">
        <v>1.53365</v>
      </c>
      <c r="J21">
        <v>5.7764199999999999</v>
      </c>
      <c r="K21">
        <v>4.2822899999999997</v>
      </c>
      <c r="M21">
        <v>2.4356</v>
      </c>
      <c r="N21">
        <v>8.0833100000000009</v>
      </c>
      <c r="O21">
        <v>4.9189800000000004</v>
      </c>
      <c r="Q21">
        <v>3.8678599999999999</v>
      </c>
      <c r="R21">
        <v>10.257160000000001</v>
      </c>
      <c r="S21">
        <v>5.9984799999999998</v>
      </c>
    </row>
    <row r="22" spans="1:19" x14ac:dyDescent="0.25">
      <c r="A22">
        <v>0.13977000000000001</v>
      </c>
      <c r="B22">
        <v>2.2439399999999998</v>
      </c>
      <c r="C22">
        <v>3.1471</v>
      </c>
      <c r="E22">
        <v>0.68091999999999997</v>
      </c>
      <c r="F22">
        <v>4.2511299999999999</v>
      </c>
      <c r="G22">
        <v>3.5695700000000001</v>
      </c>
      <c r="I22">
        <v>1.54914</v>
      </c>
      <c r="J22">
        <v>6.0626699999999998</v>
      </c>
      <c r="K22">
        <v>4.2617700000000003</v>
      </c>
      <c r="M22">
        <v>2.45642</v>
      </c>
      <c r="N22">
        <v>8.3832100000000001</v>
      </c>
      <c r="O22">
        <v>4.8850899999999999</v>
      </c>
      <c r="Q22">
        <v>3.89568</v>
      </c>
      <c r="R22">
        <v>10.43211</v>
      </c>
      <c r="S22">
        <v>5.9376300000000004</v>
      </c>
    </row>
    <row r="23" spans="1:19" x14ac:dyDescent="0.25">
      <c r="A23">
        <v>0.14204</v>
      </c>
      <c r="B23">
        <v>2.3571800000000001</v>
      </c>
      <c r="C23">
        <v>3.1451899999999999</v>
      </c>
      <c r="E23">
        <v>0.68893000000000004</v>
      </c>
      <c r="F23">
        <v>4.4826199999999998</v>
      </c>
      <c r="G23">
        <v>3.56148</v>
      </c>
      <c r="I23">
        <v>1.56463</v>
      </c>
      <c r="J23">
        <v>6.3597299999999999</v>
      </c>
      <c r="K23">
        <v>4.2413999999999996</v>
      </c>
      <c r="M23">
        <v>2.4772400000000001</v>
      </c>
      <c r="N23">
        <v>8.6798500000000001</v>
      </c>
      <c r="O23">
        <v>4.8515499999999996</v>
      </c>
      <c r="Q23">
        <v>3.9235099999999998</v>
      </c>
      <c r="R23">
        <v>10.58666</v>
      </c>
      <c r="S23">
        <v>5.8776999999999999</v>
      </c>
    </row>
    <row r="24" spans="1:19" x14ac:dyDescent="0.25">
      <c r="A24">
        <v>0.14432</v>
      </c>
      <c r="B24">
        <v>2.4797199999999999</v>
      </c>
      <c r="C24">
        <v>3.1432899999999999</v>
      </c>
      <c r="E24">
        <v>0.69694</v>
      </c>
      <c r="F24">
        <v>4.7281199999999997</v>
      </c>
      <c r="G24">
        <v>3.55342</v>
      </c>
      <c r="I24">
        <v>1.58012</v>
      </c>
      <c r="J24">
        <v>6.6666499999999997</v>
      </c>
      <c r="K24">
        <v>4.2211800000000004</v>
      </c>
      <c r="M24">
        <v>2.4980500000000001</v>
      </c>
      <c r="N24">
        <v>8.9706399999999995</v>
      </c>
      <c r="O24">
        <v>4.8183499999999997</v>
      </c>
      <c r="Q24">
        <v>3.9513400000000001</v>
      </c>
      <c r="R24">
        <v>10.7194</v>
      </c>
      <c r="S24">
        <v>5.81867</v>
      </c>
    </row>
    <row r="25" spans="1:19" x14ac:dyDescent="0.25">
      <c r="A25">
        <v>0.14659</v>
      </c>
      <c r="B25">
        <v>2.61233</v>
      </c>
      <c r="C25">
        <v>3.1413899999999999</v>
      </c>
      <c r="E25">
        <v>0.70494999999999997</v>
      </c>
      <c r="F25">
        <v>4.9879300000000004</v>
      </c>
      <c r="G25">
        <v>3.5453800000000002</v>
      </c>
      <c r="I25">
        <v>1.59561</v>
      </c>
      <c r="J25">
        <v>6.9821999999999997</v>
      </c>
      <c r="K25">
        <v>4.2011000000000003</v>
      </c>
      <c r="M25">
        <v>2.5188700000000002</v>
      </c>
      <c r="N25">
        <v>9.2527799999999996</v>
      </c>
      <c r="O25">
        <v>4.7854999999999999</v>
      </c>
      <c r="Q25">
        <v>3.9791599999999998</v>
      </c>
      <c r="R25">
        <v>10.82916</v>
      </c>
      <c r="S25">
        <v>5.7605199999999996</v>
      </c>
    </row>
    <row r="26" spans="1:19" x14ac:dyDescent="0.25">
      <c r="A26">
        <v>0.14887</v>
      </c>
      <c r="B26">
        <v>2.7558099999999999</v>
      </c>
      <c r="C26">
        <v>3.1394899999999999</v>
      </c>
      <c r="E26">
        <v>0.71296999999999999</v>
      </c>
      <c r="F26">
        <v>5.2621700000000002</v>
      </c>
      <c r="G26">
        <v>3.5373700000000001</v>
      </c>
      <c r="I26">
        <v>1.6111</v>
      </c>
      <c r="J26">
        <v>7.3047899999999997</v>
      </c>
      <c r="K26">
        <v>4.1811600000000002</v>
      </c>
      <c r="M26">
        <v>2.5396899999999998</v>
      </c>
      <c r="N26">
        <v>9.5233699999999999</v>
      </c>
      <c r="O26">
        <v>4.7529700000000004</v>
      </c>
      <c r="Q26">
        <v>4.0069900000000001</v>
      </c>
      <c r="R26">
        <v>10.91512</v>
      </c>
      <c r="S26">
        <v>5.7032400000000001</v>
      </c>
    </row>
    <row r="27" spans="1:19" x14ac:dyDescent="0.25">
      <c r="A27">
        <v>0.15114</v>
      </c>
      <c r="B27">
        <v>2.9110100000000001</v>
      </c>
      <c r="C27">
        <v>3.1375899999999999</v>
      </c>
      <c r="E27">
        <v>0.72097999999999995</v>
      </c>
      <c r="F27">
        <v>5.55077</v>
      </c>
      <c r="G27">
        <v>3.5293899999999998</v>
      </c>
      <c r="I27">
        <v>1.6266</v>
      </c>
      <c r="J27">
        <v>7.6324800000000002</v>
      </c>
      <c r="K27">
        <v>4.1613600000000002</v>
      </c>
      <c r="M27">
        <v>2.5605099999999998</v>
      </c>
      <c r="N27">
        <v>9.7794600000000003</v>
      </c>
      <c r="O27">
        <v>4.7207800000000004</v>
      </c>
      <c r="Q27">
        <v>4.0348199999999999</v>
      </c>
      <c r="R27">
        <v>10.976789999999999</v>
      </c>
      <c r="S27">
        <v>5.64682</v>
      </c>
    </row>
    <row r="28" spans="1:19" x14ac:dyDescent="0.25">
      <c r="A28">
        <v>0.15342</v>
      </c>
      <c r="B28">
        <v>3.07883</v>
      </c>
      <c r="C28">
        <v>3.1356899999999999</v>
      </c>
      <c r="E28">
        <v>0.72899000000000003</v>
      </c>
      <c r="F28">
        <v>5.85344</v>
      </c>
      <c r="G28">
        <v>3.5214400000000001</v>
      </c>
      <c r="I28">
        <v>1.64209</v>
      </c>
      <c r="J28">
        <v>7.9629200000000004</v>
      </c>
      <c r="K28">
        <v>4.1417099999999998</v>
      </c>
      <c r="M28">
        <v>2.5813199999999998</v>
      </c>
      <c r="N28">
        <v>10.01811</v>
      </c>
      <c r="O28">
        <v>4.6889200000000004</v>
      </c>
      <c r="Q28">
        <v>4.06264</v>
      </c>
      <c r="R28">
        <v>11.013999999999999</v>
      </c>
      <c r="S28">
        <v>5.5912199999999999</v>
      </c>
    </row>
    <row r="29" spans="1:19" x14ac:dyDescent="0.25">
      <c r="A29">
        <v>0.15569</v>
      </c>
      <c r="B29">
        <v>3.2602000000000002</v>
      </c>
      <c r="C29">
        <v>3.1337999999999999</v>
      </c>
      <c r="E29">
        <v>0.73699999999999999</v>
      </c>
      <c r="F29">
        <v>6.1695500000000001</v>
      </c>
      <c r="G29">
        <v>3.5135100000000001</v>
      </c>
      <c r="I29">
        <v>1.6575800000000001</v>
      </c>
      <c r="J29">
        <v>8.2934000000000001</v>
      </c>
      <c r="K29">
        <v>4.1221899999999998</v>
      </c>
      <c r="M29">
        <v>2.6021399999999999</v>
      </c>
      <c r="N29">
        <v>10.23653</v>
      </c>
      <c r="O29">
        <v>4.6573700000000002</v>
      </c>
      <c r="Q29">
        <v>4.0904699999999998</v>
      </c>
      <c r="R29">
        <v>11.026960000000001</v>
      </c>
      <c r="S29">
        <v>5.5364399999999998</v>
      </c>
    </row>
    <row r="30" spans="1:19" x14ac:dyDescent="0.25">
      <c r="A30">
        <v>0.15797</v>
      </c>
      <c r="B30">
        <v>3.4560900000000001</v>
      </c>
      <c r="C30">
        <v>3.13191</v>
      </c>
      <c r="E30">
        <v>0.74500999999999995</v>
      </c>
      <c r="F30">
        <v>6.4981400000000002</v>
      </c>
      <c r="G30">
        <v>3.5056099999999999</v>
      </c>
      <c r="I30">
        <v>1.6730700000000001</v>
      </c>
      <c r="J30">
        <v>8.6208500000000008</v>
      </c>
      <c r="K30">
        <v>4.1028099999999998</v>
      </c>
      <c r="M30">
        <v>2.62296</v>
      </c>
      <c r="N30">
        <v>10.4321</v>
      </c>
      <c r="O30">
        <v>4.6261400000000004</v>
      </c>
      <c r="Q30">
        <v>4.1182999999999996</v>
      </c>
      <c r="R30">
        <v>11.01619</v>
      </c>
      <c r="S30">
        <v>5.4824700000000002</v>
      </c>
    </row>
    <row r="31" spans="1:19" x14ac:dyDescent="0.25">
      <c r="A31">
        <v>0.16023999999999999</v>
      </c>
      <c r="B31">
        <v>3.6674699999999998</v>
      </c>
      <c r="C31">
        <v>3.13002</v>
      </c>
      <c r="E31">
        <v>0.75302000000000002</v>
      </c>
      <c r="F31">
        <v>6.83786</v>
      </c>
      <c r="G31">
        <v>3.4977399999999998</v>
      </c>
      <c r="I31">
        <v>1.6885600000000001</v>
      </c>
      <c r="J31">
        <v>8.9418500000000005</v>
      </c>
      <c r="K31">
        <v>4.0835699999999999</v>
      </c>
      <c r="M31">
        <v>2.64377</v>
      </c>
      <c r="N31">
        <v>10.602510000000001</v>
      </c>
      <c r="O31">
        <v>4.5952299999999999</v>
      </c>
      <c r="Q31">
        <v>4.1461199999999998</v>
      </c>
      <c r="R31">
        <v>10.98251</v>
      </c>
      <c r="S31">
        <v>5.4292800000000003</v>
      </c>
    </row>
    <row r="32" spans="1:19" x14ac:dyDescent="0.25">
      <c r="A32">
        <v>0.16252</v>
      </c>
      <c r="B32">
        <v>3.8953099999999998</v>
      </c>
      <c r="C32">
        <v>3.1281300000000001</v>
      </c>
      <c r="E32">
        <v>0.76102999999999998</v>
      </c>
      <c r="F32">
        <v>7.1868499999999997</v>
      </c>
      <c r="G32">
        <v>3.4898899999999999</v>
      </c>
      <c r="I32">
        <v>1.7040500000000001</v>
      </c>
      <c r="J32">
        <v>9.2527299999999997</v>
      </c>
      <c r="K32">
        <v>4.0644600000000004</v>
      </c>
      <c r="M32">
        <v>2.66459</v>
      </c>
      <c r="N32">
        <v>10.745810000000001</v>
      </c>
      <c r="O32">
        <v>4.5646199999999997</v>
      </c>
      <c r="Q32">
        <v>4.1739499999999996</v>
      </c>
      <c r="R32">
        <v>10.927</v>
      </c>
      <c r="S32">
        <v>5.3768599999999998</v>
      </c>
    </row>
    <row r="33" spans="1:19" x14ac:dyDescent="0.25">
      <c r="A33">
        <v>0.16478999999999999</v>
      </c>
      <c r="B33">
        <v>4.1405000000000003</v>
      </c>
      <c r="C33">
        <v>3.1262400000000001</v>
      </c>
      <c r="E33">
        <v>0.76903999999999995</v>
      </c>
      <c r="F33">
        <v>7.5427900000000001</v>
      </c>
      <c r="G33">
        <v>3.4820700000000002</v>
      </c>
      <c r="I33">
        <v>1.7195400000000001</v>
      </c>
      <c r="J33">
        <v>9.5496300000000005</v>
      </c>
      <c r="K33">
        <v>4.0454800000000004</v>
      </c>
      <c r="M33">
        <v>2.6854100000000001</v>
      </c>
      <c r="N33">
        <v>10.86049</v>
      </c>
      <c r="O33">
        <v>4.5343200000000001</v>
      </c>
      <c r="Q33">
        <v>4.2017699999999998</v>
      </c>
      <c r="R33">
        <v>10.850989999999999</v>
      </c>
      <c r="S33">
        <v>5.3251900000000001</v>
      </c>
    </row>
    <row r="34" spans="1:19" x14ac:dyDescent="0.25">
      <c r="A34">
        <v>0.16707</v>
      </c>
      <c r="B34">
        <v>4.4039099999999998</v>
      </c>
      <c r="C34">
        <v>3.1243500000000002</v>
      </c>
      <c r="E34">
        <v>0.77705000000000002</v>
      </c>
      <c r="F34">
        <v>7.9028099999999997</v>
      </c>
      <c r="G34">
        <v>3.4742700000000002</v>
      </c>
      <c r="I34">
        <v>1.7350399999999999</v>
      </c>
      <c r="J34">
        <v>9.8286300000000004</v>
      </c>
      <c r="K34">
        <v>4.0266400000000004</v>
      </c>
      <c r="M34">
        <v>2.7062300000000001</v>
      </c>
      <c r="N34">
        <v>10.945550000000001</v>
      </c>
      <c r="O34">
        <v>4.5043199999999999</v>
      </c>
      <c r="Q34">
        <v>4.2295999999999996</v>
      </c>
      <c r="R34">
        <v>10.755990000000001</v>
      </c>
      <c r="S34">
        <v>5.2742699999999996</v>
      </c>
    </row>
    <row r="35" spans="1:19" x14ac:dyDescent="0.25">
      <c r="A35">
        <v>0.16933999999999999</v>
      </c>
      <c r="B35">
        <v>4.68621</v>
      </c>
      <c r="C35">
        <v>3.1224699999999999</v>
      </c>
      <c r="E35">
        <v>0.78505999999999998</v>
      </c>
      <c r="F35">
        <v>8.2634899999999991</v>
      </c>
      <c r="G35">
        <v>3.4664999999999999</v>
      </c>
      <c r="I35">
        <v>1.7505299999999999</v>
      </c>
      <c r="J35">
        <v>10.085850000000001</v>
      </c>
      <c r="K35">
        <v>4.00793</v>
      </c>
      <c r="M35">
        <v>2.7270400000000001</v>
      </c>
      <c r="N35">
        <v>11.00048</v>
      </c>
      <c r="O35">
        <v>4.4746199999999998</v>
      </c>
      <c r="Q35">
        <v>4.2574300000000003</v>
      </c>
      <c r="R35">
        <v>10.64362</v>
      </c>
      <c r="S35">
        <v>5.2240700000000002</v>
      </c>
    </row>
    <row r="36" spans="1:19" x14ac:dyDescent="0.25">
      <c r="A36">
        <v>0.17161999999999999</v>
      </c>
      <c r="B36">
        <v>4.9879199999999999</v>
      </c>
      <c r="C36">
        <v>3.12059</v>
      </c>
      <c r="E36">
        <v>0.79307000000000005</v>
      </c>
      <c r="F36">
        <v>8.6209000000000007</v>
      </c>
      <c r="G36">
        <v>3.4587599999999998</v>
      </c>
      <c r="I36">
        <v>1.7660199999999999</v>
      </c>
      <c r="J36">
        <v>10.317600000000001</v>
      </c>
      <c r="K36">
        <v>3.98935</v>
      </c>
      <c r="M36">
        <v>2.7478600000000002</v>
      </c>
      <c r="N36">
        <v>11.025320000000001</v>
      </c>
      <c r="O36">
        <v>4.4452100000000003</v>
      </c>
      <c r="Q36">
        <v>4.2852499999999996</v>
      </c>
      <c r="R36">
        <v>10.51563</v>
      </c>
      <c r="S36">
        <v>5.1745900000000002</v>
      </c>
    </row>
    <row r="37" spans="1:19" x14ac:dyDescent="0.25">
      <c r="A37">
        <v>0.17388999999999999</v>
      </c>
      <c r="B37">
        <v>5.3092699999999997</v>
      </c>
      <c r="C37">
        <v>3.1187100000000001</v>
      </c>
      <c r="E37">
        <v>0.80108000000000001</v>
      </c>
      <c r="F37">
        <v>8.9706200000000003</v>
      </c>
      <c r="G37">
        <v>3.45105</v>
      </c>
      <c r="I37">
        <v>1.7815099999999999</v>
      </c>
      <c r="J37">
        <v>10.52055</v>
      </c>
      <c r="K37">
        <v>3.9708999999999999</v>
      </c>
      <c r="M37">
        <v>2.7686799999999998</v>
      </c>
      <c r="N37">
        <v>11.02061</v>
      </c>
      <c r="O37">
        <v>4.4160899999999996</v>
      </c>
      <c r="Q37">
        <v>4.3130800000000002</v>
      </c>
      <c r="R37">
        <v>10.37377</v>
      </c>
      <c r="S37">
        <v>5.1257999999999999</v>
      </c>
    </row>
    <row r="38" spans="1:19" x14ac:dyDescent="0.25">
      <c r="A38">
        <v>0.17616999999999999</v>
      </c>
      <c r="B38">
        <v>5.6501200000000003</v>
      </c>
      <c r="C38">
        <v>3.1168300000000002</v>
      </c>
      <c r="E38">
        <v>0.80910000000000004</v>
      </c>
      <c r="F38">
        <v>9.3078900000000004</v>
      </c>
      <c r="G38">
        <v>3.4433600000000002</v>
      </c>
      <c r="I38">
        <v>1.7969999999999999</v>
      </c>
      <c r="J38">
        <v>10.69183</v>
      </c>
      <c r="K38">
        <v>3.9525800000000002</v>
      </c>
      <c r="M38">
        <v>2.7894899999999998</v>
      </c>
      <c r="N38">
        <v>10.987360000000001</v>
      </c>
      <c r="O38">
        <v>4.3872499999999999</v>
      </c>
      <c r="Q38">
        <v>4.34091</v>
      </c>
      <c r="R38">
        <v>10.219849999999999</v>
      </c>
      <c r="S38">
        <v>5.0777099999999997</v>
      </c>
    </row>
    <row r="39" spans="1:19" x14ac:dyDescent="0.25">
      <c r="A39">
        <v>0.17845</v>
      </c>
      <c r="B39">
        <v>6.0098700000000003</v>
      </c>
      <c r="C39">
        <v>3.1149499999999999</v>
      </c>
      <c r="E39">
        <v>0.81711</v>
      </c>
      <c r="F39">
        <v>9.6276799999999998</v>
      </c>
      <c r="G39">
        <v>3.4356900000000001</v>
      </c>
      <c r="I39">
        <v>1.8124899999999999</v>
      </c>
      <c r="J39">
        <v>10.82915</v>
      </c>
      <c r="K39">
        <v>3.93438</v>
      </c>
      <c r="M39">
        <v>2.8103099999999999</v>
      </c>
      <c r="N39">
        <v>10.927020000000001</v>
      </c>
      <c r="O39">
        <v>4.3586999999999998</v>
      </c>
      <c r="Q39">
        <v>4.3687300000000002</v>
      </c>
      <c r="R39">
        <v>10.055619999999999</v>
      </c>
      <c r="S39">
        <v>5.0302800000000003</v>
      </c>
    </row>
    <row r="40" spans="1:19" x14ac:dyDescent="0.25">
      <c r="A40">
        <v>0.18071999999999999</v>
      </c>
      <c r="B40">
        <v>6.3873100000000003</v>
      </c>
      <c r="C40">
        <v>3.1130800000000001</v>
      </c>
      <c r="E40">
        <v>0.82511999999999996</v>
      </c>
      <c r="F40">
        <v>9.9248899999999995</v>
      </c>
      <c r="G40">
        <v>3.4280499999999998</v>
      </c>
      <c r="I40">
        <v>1.8279799999999999</v>
      </c>
      <c r="J40">
        <v>10.93094</v>
      </c>
      <c r="K40">
        <v>3.9163100000000002</v>
      </c>
      <c r="M40">
        <v>2.8311299999999999</v>
      </c>
      <c r="N40">
        <v>10.84136</v>
      </c>
      <c r="O40">
        <v>4.3304200000000002</v>
      </c>
      <c r="Q40">
        <v>4.39656</v>
      </c>
      <c r="R40">
        <v>9.8827700000000007</v>
      </c>
      <c r="S40">
        <v>4.9835200000000004</v>
      </c>
    </row>
    <row r="41" spans="1:19" x14ac:dyDescent="0.25">
      <c r="A41">
        <v>0.183</v>
      </c>
      <c r="B41">
        <v>6.7805600000000004</v>
      </c>
      <c r="C41">
        <v>3.1112000000000002</v>
      </c>
      <c r="E41">
        <v>0.83313000000000004</v>
      </c>
      <c r="F41">
        <v>10.19455</v>
      </c>
      <c r="G41">
        <v>3.4204400000000001</v>
      </c>
      <c r="I41">
        <v>1.84348</v>
      </c>
      <c r="J41">
        <v>10.99635</v>
      </c>
      <c r="K41">
        <v>3.8983599999999998</v>
      </c>
      <c r="M41">
        <v>2.85195</v>
      </c>
      <c r="N41">
        <v>10.732480000000001</v>
      </c>
      <c r="O41">
        <v>4.3024199999999997</v>
      </c>
      <c r="Q41">
        <v>4.4243800000000002</v>
      </c>
      <c r="R41">
        <v>9.7029300000000003</v>
      </c>
      <c r="S41">
        <v>4.9374099999999999</v>
      </c>
    </row>
    <row r="42" spans="1:19" x14ac:dyDescent="0.25">
      <c r="A42">
        <v>0.18526999999999999</v>
      </c>
      <c r="B42">
        <v>7.1868800000000004</v>
      </c>
      <c r="C42">
        <v>3.1093299999999999</v>
      </c>
      <c r="E42">
        <v>0.84114</v>
      </c>
      <c r="F42">
        <v>10.43205</v>
      </c>
      <c r="G42">
        <v>3.4128500000000002</v>
      </c>
      <c r="I42">
        <v>1.85897</v>
      </c>
      <c r="J42">
        <v>11.02534</v>
      </c>
      <c r="K42">
        <v>3.8805399999999999</v>
      </c>
      <c r="M42">
        <v>2.87276</v>
      </c>
      <c r="N42">
        <v>10.60263</v>
      </c>
      <c r="O42">
        <v>4.2746899999999997</v>
      </c>
      <c r="Q42">
        <v>4.45221</v>
      </c>
      <c r="R42">
        <v>9.5176200000000009</v>
      </c>
      <c r="S42">
        <v>4.8919300000000003</v>
      </c>
    </row>
    <row r="43" spans="1:19" x14ac:dyDescent="0.25">
      <c r="A43">
        <v>0.18754999999999999</v>
      </c>
      <c r="B43">
        <v>7.6026400000000001</v>
      </c>
      <c r="C43">
        <v>3.1074600000000001</v>
      </c>
      <c r="E43">
        <v>0.84914999999999996</v>
      </c>
      <c r="F43">
        <v>10.633330000000001</v>
      </c>
      <c r="G43">
        <v>3.4052799999999999</v>
      </c>
      <c r="I43">
        <v>1.87446</v>
      </c>
      <c r="J43">
        <v>11.01857</v>
      </c>
      <c r="K43">
        <v>3.8628300000000002</v>
      </c>
      <c r="M43">
        <v>2.89358</v>
      </c>
      <c r="N43">
        <v>10.45421</v>
      </c>
      <c r="O43">
        <v>4.2472200000000004</v>
      </c>
      <c r="Q43">
        <v>4.4800399999999998</v>
      </c>
      <c r="R43">
        <v>9.3282399999999992</v>
      </c>
      <c r="S43">
        <v>4.8470800000000001</v>
      </c>
    </row>
    <row r="44" spans="1:19" x14ac:dyDescent="0.25">
      <c r="A44">
        <v>0.18981999999999999</v>
      </c>
      <c r="B44">
        <v>8.0231999999999992</v>
      </c>
      <c r="C44">
        <v>3.1055899999999999</v>
      </c>
      <c r="E44">
        <v>0.85716000000000003</v>
      </c>
      <c r="F44">
        <v>10.795120000000001</v>
      </c>
      <c r="G44">
        <v>3.3977499999999998</v>
      </c>
      <c r="I44">
        <v>1.88995</v>
      </c>
      <c r="J44">
        <v>10.97744</v>
      </c>
      <c r="K44">
        <v>3.8452500000000001</v>
      </c>
      <c r="M44">
        <v>2.9144000000000001</v>
      </c>
      <c r="N44">
        <v>10.28966</v>
      </c>
      <c r="O44">
        <v>4.2200199999999999</v>
      </c>
      <c r="Q44">
        <v>4.50786</v>
      </c>
      <c r="R44">
        <v>9.1360899999999994</v>
      </c>
      <c r="S44">
        <v>4.8028399999999998</v>
      </c>
    </row>
    <row r="45" spans="1:19" x14ac:dyDescent="0.25">
      <c r="A45">
        <v>0.19209999999999999</v>
      </c>
      <c r="B45">
        <v>8.4429400000000001</v>
      </c>
      <c r="C45">
        <v>3.10372</v>
      </c>
      <c r="E45">
        <v>0.86516999999999999</v>
      </c>
      <c r="F45">
        <v>10.915050000000001</v>
      </c>
      <c r="G45">
        <v>3.3902299999999999</v>
      </c>
      <c r="I45">
        <v>1.90544</v>
      </c>
      <c r="J45">
        <v>10.903919999999999</v>
      </c>
      <c r="K45">
        <v>3.8277899999999998</v>
      </c>
      <c r="M45">
        <v>2.9352100000000001</v>
      </c>
      <c r="N45">
        <v>10.11143</v>
      </c>
      <c r="O45">
        <v>4.1930800000000001</v>
      </c>
      <c r="Q45">
        <v>4.5356899999999998</v>
      </c>
      <c r="R45">
        <v>8.9423300000000001</v>
      </c>
      <c r="S45">
        <v>4.7592100000000004</v>
      </c>
    </row>
    <row r="46" spans="1:19" x14ac:dyDescent="0.25">
      <c r="A46">
        <v>0.19436999999999999</v>
      </c>
      <c r="B46">
        <v>8.8552800000000005</v>
      </c>
      <c r="C46">
        <v>3.1018599999999998</v>
      </c>
      <c r="E46">
        <v>0.87317999999999996</v>
      </c>
      <c r="F46">
        <v>10.99183</v>
      </c>
      <c r="G46">
        <v>3.3827400000000001</v>
      </c>
      <c r="I46">
        <v>1.92093</v>
      </c>
      <c r="J46">
        <v>10.800520000000001</v>
      </c>
      <c r="K46">
        <v>3.8104499999999999</v>
      </c>
      <c r="M46">
        <v>2.9560300000000002</v>
      </c>
      <c r="N46">
        <v>9.9218700000000002</v>
      </c>
      <c r="O46">
        <v>4.1664000000000003</v>
      </c>
      <c r="Q46">
        <v>4.5635199999999996</v>
      </c>
      <c r="R46">
        <v>8.7480100000000007</v>
      </c>
      <c r="S46">
        <v>4.71617</v>
      </c>
    </row>
    <row r="47" spans="1:19" x14ac:dyDescent="0.25">
      <c r="A47">
        <v>0.19664999999999999</v>
      </c>
      <c r="B47">
        <v>9.2528699999999997</v>
      </c>
      <c r="C47">
        <v>3.1</v>
      </c>
      <c r="E47">
        <v>0.88119000000000003</v>
      </c>
      <c r="F47">
        <v>11.025230000000001</v>
      </c>
      <c r="G47">
        <v>3.3752800000000001</v>
      </c>
      <c r="I47">
        <v>1.93642</v>
      </c>
      <c r="J47">
        <v>10.670070000000001</v>
      </c>
      <c r="K47">
        <v>3.7932199999999998</v>
      </c>
      <c r="M47">
        <v>2.9768500000000002</v>
      </c>
      <c r="N47">
        <v>9.7232299999999992</v>
      </c>
      <c r="O47">
        <v>4.1399699999999999</v>
      </c>
      <c r="Q47">
        <v>4.5913399999999998</v>
      </c>
      <c r="R47">
        <v>8.5540500000000002</v>
      </c>
      <c r="S47">
        <v>4.6737099999999998</v>
      </c>
    </row>
    <row r="48" spans="1:19" x14ac:dyDescent="0.25">
      <c r="A48">
        <v>0.19892000000000001</v>
      </c>
      <c r="B48">
        <v>9.6278100000000002</v>
      </c>
      <c r="C48">
        <v>3.0981299999999998</v>
      </c>
      <c r="E48">
        <v>0.88919999999999999</v>
      </c>
      <c r="F48">
        <v>11.016109999999999</v>
      </c>
      <c r="G48">
        <v>3.3678400000000002</v>
      </c>
      <c r="I48">
        <v>1.9519200000000001</v>
      </c>
      <c r="J48">
        <v>10.515700000000001</v>
      </c>
      <c r="K48">
        <v>3.7761100000000001</v>
      </c>
      <c r="M48">
        <v>2.9976699999999998</v>
      </c>
      <c r="N48">
        <v>9.5176400000000001</v>
      </c>
      <c r="O48">
        <v>4.1137899999999998</v>
      </c>
      <c r="Q48">
        <v>4.6191700000000004</v>
      </c>
      <c r="R48">
        <v>8.3612699999999993</v>
      </c>
      <c r="S48">
        <v>4.6318200000000003</v>
      </c>
    </row>
    <row r="49" spans="1:19" x14ac:dyDescent="0.25">
      <c r="A49">
        <v>0.20119999999999999</v>
      </c>
      <c r="B49">
        <v>9.9720300000000002</v>
      </c>
      <c r="C49">
        <v>3.0962700000000001</v>
      </c>
      <c r="E49">
        <v>0.89722000000000002</v>
      </c>
      <c r="F49">
        <v>10.966279999999999</v>
      </c>
      <c r="G49">
        <v>3.36043</v>
      </c>
      <c r="I49">
        <v>1.9674100000000001</v>
      </c>
      <c r="J49">
        <v>10.340630000000001</v>
      </c>
      <c r="K49">
        <v>3.7591199999999998</v>
      </c>
      <c r="M49">
        <v>3.0184799999999998</v>
      </c>
      <c r="N49">
        <v>9.3070299999999992</v>
      </c>
      <c r="O49">
        <v>4.08786</v>
      </c>
      <c r="Q49">
        <v>4.6470000000000002</v>
      </c>
      <c r="R49">
        <v>8.1703399999999995</v>
      </c>
      <c r="S49">
        <v>4.59049</v>
      </c>
    </row>
    <row r="50" spans="1:19" x14ac:dyDescent="0.25">
      <c r="A50">
        <v>0.20347000000000001</v>
      </c>
      <c r="B50">
        <v>10.27768</v>
      </c>
      <c r="C50">
        <v>3.0944099999999999</v>
      </c>
      <c r="E50">
        <v>0.90522999999999998</v>
      </c>
      <c r="F50">
        <v>10.87843</v>
      </c>
      <c r="G50">
        <v>3.35304</v>
      </c>
      <c r="I50">
        <v>1.9829000000000001</v>
      </c>
      <c r="J50">
        <v>10.14812</v>
      </c>
      <c r="K50">
        <v>3.7422399999999998</v>
      </c>
      <c r="M50">
        <v>3.0392999999999999</v>
      </c>
      <c r="N50">
        <v>9.0931599999999992</v>
      </c>
      <c r="O50">
        <v>4.0621799999999997</v>
      </c>
      <c r="Q50">
        <v>4.6748200000000004</v>
      </c>
      <c r="R50">
        <v>7.9818800000000003</v>
      </c>
      <c r="S50">
        <v>4.5497100000000001</v>
      </c>
    </row>
    <row r="51" spans="1:19" x14ac:dyDescent="0.25">
      <c r="A51">
        <v>0.20574999999999999</v>
      </c>
      <c r="B51">
        <v>10.53764</v>
      </c>
      <c r="C51">
        <v>3.0925600000000002</v>
      </c>
      <c r="E51">
        <v>0.91324000000000005</v>
      </c>
      <c r="F51">
        <v>10.7559</v>
      </c>
      <c r="G51">
        <v>3.3456700000000001</v>
      </c>
      <c r="I51">
        <v>1.9983900000000001</v>
      </c>
      <c r="J51">
        <v>9.9413300000000007</v>
      </c>
      <c r="K51">
        <v>3.7254800000000001</v>
      </c>
      <c r="M51">
        <v>3.06012</v>
      </c>
      <c r="N51">
        <v>8.8775999999999993</v>
      </c>
      <c r="O51">
        <v>4.0367300000000004</v>
      </c>
      <c r="Q51">
        <v>4.7026500000000002</v>
      </c>
      <c r="R51">
        <v>7.7963800000000001</v>
      </c>
      <c r="S51">
        <v>4.5094700000000003</v>
      </c>
    </row>
    <row r="52" spans="1:19" x14ac:dyDescent="0.25">
      <c r="A52">
        <v>0.20802000000000001</v>
      </c>
      <c r="B52">
        <v>10.74596</v>
      </c>
      <c r="C52">
        <v>3.0907</v>
      </c>
      <c r="E52">
        <v>0.92125000000000001</v>
      </c>
      <c r="F52">
        <v>10.60252</v>
      </c>
      <c r="G52">
        <v>3.33833</v>
      </c>
      <c r="I52">
        <v>2.0138799999999999</v>
      </c>
      <c r="J52">
        <v>9.7233000000000001</v>
      </c>
      <c r="K52">
        <v>3.7088199999999998</v>
      </c>
      <c r="M52">
        <v>3.0809299999999999</v>
      </c>
      <c r="N52">
        <v>8.66174</v>
      </c>
      <c r="O52">
        <v>4.01152</v>
      </c>
      <c r="Q52">
        <v>4.7304700000000004</v>
      </c>
      <c r="R52">
        <v>7.6142599999999998</v>
      </c>
      <c r="S52">
        <v>4.4697699999999996</v>
      </c>
    </row>
    <row r="53" spans="1:19" x14ac:dyDescent="0.25">
      <c r="A53">
        <v>0.21029999999999999</v>
      </c>
      <c r="B53">
        <v>10.89827</v>
      </c>
      <c r="C53">
        <v>3.0888499999999999</v>
      </c>
      <c r="E53">
        <v>0.92925999999999997</v>
      </c>
      <c r="F53">
        <v>10.4224</v>
      </c>
      <c r="G53">
        <v>3.33101</v>
      </c>
      <c r="I53">
        <v>2.0293700000000001</v>
      </c>
      <c r="J53">
        <v>9.4968500000000002</v>
      </c>
      <c r="K53">
        <v>3.6922799999999998</v>
      </c>
      <c r="M53">
        <v>3.10175</v>
      </c>
      <c r="N53">
        <v>8.4467800000000004</v>
      </c>
      <c r="O53">
        <v>3.9865499999999998</v>
      </c>
      <c r="Q53">
        <v>4.7583000000000002</v>
      </c>
      <c r="R53">
        <v>7.4358500000000003</v>
      </c>
      <c r="S53">
        <v>4.43058</v>
      </c>
    </row>
    <row r="54" spans="1:19" x14ac:dyDescent="0.25">
      <c r="A54">
        <v>0.21257000000000001</v>
      </c>
      <c r="B54">
        <v>10.99208</v>
      </c>
      <c r="C54">
        <v>3.0870000000000002</v>
      </c>
      <c r="E54">
        <v>0.93727000000000005</v>
      </c>
      <c r="F54">
        <v>10.21977</v>
      </c>
      <c r="G54">
        <v>3.3237199999999998</v>
      </c>
      <c r="I54">
        <v>2.0448599999999999</v>
      </c>
      <c r="J54">
        <v>9.2645300000000006</v>
      </c>
      <c r="K54">
        <v>3.6758500000000001</v>
      </c>
      <c r="M54">
        <v>3.1225700000000001</v>
      </c>
      <c r="N54">
        <v>8.2337600000000002</v>
      </c>
      <c r="O54">
        <v>3.9618099999999998</v>
      </c>
      <c r="Q54">
        <v>4.78613</v>
      </c>
      <c r="R54">
        <v>7.2614299999999998</v>
      </c>
      <c r="S54">
        <v>4.3919100000000002</v>
      </c>
    </row>
    <row r="55" spans="1:19" x14ac:dyDescent="0.25">
      <c r="A55">
        <v>0.21485000000000001</v>
      </c>
      <c r="B55">
        <v>11.02689</v>
      </c>
      <c r="C55">
        <v>3.0851500000000001</v>
      </c>
      <c r="E55">
        <v>0.94528000000000001</v>
      </c>
      <c r="F55">
        <v>9.9987999999999992</v>
      </c>
      <c r="G55">
        <v>3.3164500000000001</v>
      </c>
      <c r="I55">
        <v>2.0603500000000001</v>
      </c>
      <c r="J55">
        <v>9.02867</v>
      </c>
      <c r="K55">
        <v>3.6595300000000002</v>
      </c>
      <c r="M55">
        <v>3.1433900000000001</v>
      </c>
      <c r="N55">
        <v>8.0235500000000002</v>
      </c>
      <c r="O55">
        <v>3.9373</v>
      </c>
      <c r="Q55">
        <v>4.8139500000000002</v>
      </c>
      <c r="R55">
        <v>7.0911900000000001</v>
      </c>
      <c r="S55">
        <v>4.3537400000000002</v>
      </c>
    </row>
    <row r="56" spans="1:19" x14ac:dyDescent="0.25">
      <c r="A56">
        <v>0.21712000000000001</v>
      </c>
      <c r="B56">
        <v>11.00418</v>
      </c>
      <c r="C56">
        <v>3.0832999999999999</v>
      </c>
      <c r="E56">
        <v>0.95328999999999997</v>
      </c>
      <c r="F56">
        <v>9.7634799999999995</v>
      </c>
      <c r="G56">
        <v>3.3092000000000001</v>
      </c>
      <c r="I56">
        <v>2.07585</v>
      </c>
      <c r="J56">
        <v>8.79129</v>
      </c>
      <c r="K56">
        <v>3.64331</v>
      </c>
      <c r="M56">
        <v>3.1642000000000001</v>
      </c>
      <c r="N56">
        <v>7.8168600000000001</v>
      </c>
      <c r="O56">
        <v>3.9130199999999999</v>
      </c>
      <c r="Q56">
        <v>4.84178</v>
      </c>
      <c r="R56">
        <v>6.9252900000000004</v>
      </c>
      <c r="S56">
        <v>4.3160699999999999</v>
      </c>
    </row>
    <row r="57" spans="1:19" x14ac:dyDescent="0.25">
      <c r="A57">
        <v>0.21940000000000001</v>
      </c>
      <c r="B57">
        <v>10.927199999999999</v>
      </c>
      <c r="C57">
        <v>3.0814499999999998</v>
      </c>
      <c r="E57">
        <v>0.96130000000000004</v>
      </c>
      <c r="F57">
        <v>9.5175400000000003</v>
      </c>
      <c r="G57">
        <v>3.3019799999999999</v>
      </c>
      <c r="I57">
        <v>2.0913400000000002</v>
      </c>
      <c r="J57">
        <v>8.5541499999999999</v>
      </c>
      <c r="K57">
        <v>3.6272099999999998</v>
      </c>
      <c r="M57">
        <v>3.1850200000000002</v>
      </c>
      <c r="N57">
        <v>7.6142799999999999</v>
      </c>
      <c r="O57">
        <v>3.88896</v>
      </c>
      <c r="Q57">
        <v>4.8696099999999998</v>
      </c>
      <c r="R57">
        <v>6.7638400000000001</v>
      </c>
      <c r="S57">
        <v>4.2788899999999996</v>
      </c>
    </row>
    <row r="58" spans="1:19" x14ac:dyDescent="0.25">
      <c r="A58">
        <v>0.22167999999999999</v>
      </c>
      <c r="B58">
        <v>10.800660000000001</v>
      </c>
      <c r="C58">
        <v>3.0796100000000002</v>
      </c>
      <c r="E58">
        <v>0.96931</v>
      </c>
      <c r="F58">
        <v>9.2643599999999999</v>
      </c>
      <c r="G58">
        <v>3.2947799999999998</v>
      </c>
      <c r="I58">
        <v>2.10683</v>
      </c>
      <c r="J58">
        <v>8.3187499999999996</v>
      </c>
      <c r="K58">
        <v>3.6112099999999998</v>
      </c>
      <c r="M58">
        <v>3.2058399999999998</v>
      </c>
      <c r="N58">
        <v>7.41629</v>
      </c>
      <c r="O58">
        <v>3.8651300000000002</v>
      </c>
      <c r="Q58">
        <v>4.8974299999999999</v>
      </c>
      <c r="R58">
        <v>6.6069000000000004</v>
      </c>
      <c r="S58">
        <v>4.2421800000000003</v>
      </c>
    </row>
    <row r="59" spans="1:19" x14ac:dyDescent="0.25">
      <c r="A59">
        <v>0.22395000000000001</v>
      </c>
      <c r="B59">
        <v>10.63034</v>
      </c>
      <c r="C59">
        <v>3.0777600000000001</v>
      </c>
      <c r="E59">
        <v>0.97731999999999997</v>
      </c>
      <c r="F59">
        <v>9.0069599999999994</v>
      </c>
      <c r="G59">
        <v>3.2876099999999999</v>
      </c>
      <c r="I59">
        <v>2.1223200000000002</v>
      </c>
      <c r="J59">
        <v>8.0863399999999999</v>
      </c>
      <c r="K59">
        <v>3.5953200000000001</v>
      </c>
      <c r="M59">
        <v>3.2266499999999998</v>
      </c>
      <c r="N59">
        <v>7.2232500000000002</v>
      </c>
      <c r="O59">
        <v>3.84151</v>
      </c>
      <c r="Q59">
        <v>4.9252599999999997</v>
      </c>
      <c r="R59">
        <v>6.4545000000000003</v>
      </c>
      <c r="S59">
        <v>4.2059499999999996</v>
      </c>
    </row>
    <row r="60" spans="1:19" x14ac:dyDescent="0.25">
      <c r="A60">
        <v>0.22622999999999999</v>
      </c>
      <c r="B60">
        <v>10.422689999999999</v>
      </c>
      <c r="C60">
        <v>3.07592</v>
      </c>
      <c r="E60">
        <v>0.98533000000000004</v>
      </c>
      <c r="F60">
        <v>8.7479399999999998</v>
      </c>
      <c r="G60">
        <v>3.2804600000000002</v>
      </c>
      <c r="I60">
        <v>2.13781</v>
      </c>
      <c r="J60">
        <v>7.8579499999999998</v>
      </c>
      <c r="K60">
        <v>3.5795300000000001</v>
      </c>
      <c r="M60">
        <v>3.2474699999999999</v>
      </c>
      <c r="N60">
        <v>7.0354200000000002</v>
      </c>
      <c r="O60">
        <v>3.8180999999999998</v>
      </c>
      <c r="Q60">
        <v>4.9530799999999999</v>
      </c>
      <c r="R60">
        <v>6.3066300000000002</v>
      </c>
      <c r="S60">
        <v>4.1701699999999997</v>
      </c>
    </row>
    <row r="61" spans="1:19" x14ac:dyDescent="0.25">
      <c r="A61">
        <v>0.22850000000000001</v>
      </c>
      <c r="B61">
        <v>10.184380000000001</v>
      </c>
      <c r="C61">
        <v>3.0740799999999999</v>
      </c>
      <c r="E61">
        <v>0.99334999999999996</v>
      </c>
      <c r="F61">
        <v>8.4895600000000009</v>
      </c>
      <c r="G61">
        <v>3.2733300000000001</v>
      </c>
      <c r="I61">
        <v>2.1533000000000002</v>
      </c>
      <c r="J61">
        <v>7.6344099999999999</v>
      </c>
      <c r="K61">
        <v>3.5638399999999999</v>
      </c>
      <c r="M61">
        <v>3.2682899999999999</v>
      </c>
      <c r="N61">
        <v>6.8529999999999998</v>
      </c>
      <c r="O61">
        <v>3.7949099999999998</v>
      </c>
      <c r="Q61">
        <v>4.9809099999999997</v>
      </c>
      <c r="R61">
        <v>6.1632800000000003</v>
      </c>
      <c r="S61">
        <v>4.1348500000000001</v>
      </c>
    </row>
    <row r="62" spans="1:19" x14ac:dyDescent="0.25">
      <c r="A62">
        <v>0.23078000000000001</v>
      </c>
      <c r="B62">
        <v>9.9220299999999995</v>
      </c>
      <c r="C62">
        <v>3.0722399999999999</v>
      </c>
      <c r="E62">
        <v>1.00136</v>
      </c>
      <c r="F62">
        <v>8.2336799999999997</v>
      </c>
      <c r="G62">
        <v>3.2662300000000002</v>
      </c>
      <c r="I62">
        <v>2.16879</v>
      </c>
      <c r="J62">
        <v>7.4163600000000001</v>
      </c>
      <c r="K62">
        <v>3.54826</v>
      </c>
      <c r="M62">
        <v>3.28911</v>
      </c>
      <c r="N62">
        <v>6.6761100000000004</v>
      </c>
      <c r="O62">
        <v>3.7719299999999998</v>
      </c>
      <c r="Q62">
        <v>5.0087400000000004</v>
      </c>
      <c r="R62">
        <v>6.0243900000000004</v>
      </c>
      <c r="S62">
        <v>4.0999800000000004</v>
      </c>
    </row>
    <row r="63" spans="1:19" x14ac:dyDescent="0.25">
      <c r="A63">
        <v>0.23305000000000001</v>
      </c>
      <c r="B63">
        <v>9.6418800000000005</v>
      </c>
      <c r="C63">
        <v>3.0703999999999998</v>
      </c>
      <c r="E63">
        <v>1.0093700000000001</v>
      </c>
      <c r="F63">
        <v>7.9818199999999999</v>
      </c>
      <c r="G63">
        <v>3.2591399999999999</v>
      </c>
      <c r="I63">
        <v>2.1842899999999998</v>
      </c>
      <c r="J63">
        <v>7.2042999999999999</v>
      </c>
      <c r="K63">
        <v>3.5327799999999998</v>
      </c>
      <c r="M63">
        <v>3.30992</v>
      </c>
      <c r="N63">
        <v>6.50481</v>
      </c>
      <c r="O63">
        <v>3.7491599999999998</v>
      </c>
      <c r="Q63">
        <v>5.0365599999999997</v>
      </c>
      <c r="R63">
        <v>5.8899100000000004</v>
      </c>
      <c r="S63">
        <v>4.06555</v>
      </c>
    </row>
    <row r="64" spans="1:19" x14ac:dyDescent="0.25">
      <c r="A64">
        <v>0.23533000000000001</v>
      </c>
      <c r="B64">
        <v>9.3496199999999998</v>
      </c>
      <c r="C64">
        <v>3.0685699999999998</v>
      </c>
      <c r="E64">
        <v>1.01738</v>
      </c>
      <c r="F64">
        <v>7.7352299999999996</v>
      </c>
      <c r="G64">
        <v>3.2520899999999999</v>
      </c>
      <c r="I64">
        <v>2.1997800000000001</v>
      </c>
      <c r="J64">
        <v>6.99857</v>
      </c>
      <c r="K64">
        <v>3.5173999999999999</v>
      </c>
      <c r="M64">
        <v>3.33074</v>
      </c>
      <c r="N64">
        <v>6.3391200000000003</v>
      </c>
      <c r="O64">
        <v>3.7265999999999999</v>
      </c>
      <c r="Q64">
        <v>5.0643900000000004</v>
      </c>
      <c r="R64">
        <v>5.7597399999999999</v>
      </c>
      <c r="S64">
        <v>4.0315500000000002</v>
      </c>
    </row>
    <row r="65" spans="1:19" x14ac:dyDescent="0.25">
      <c r="A65">
        <v>0.23760000000000001</v>
      </c>
      <c r="B65">
        <v>9.0502800000000008</v>
      </c>
      <c r="C65">
        <v>3.0667399999999998</v>
      </c>
      <c r="E65">
        <v>1.02539</v>
      </c>
      <c r="F65">
        <v>7.4948399999999999</v>
      </c>
      <c r="G65">
        <v>3.24505</v>
      </c>
      <c r="I65">
        <v>2.2152699999999999</v>
      </c>
      <c r="J65">
        <v>6.79941</v>
      </c>
      <c r="K65">
        <v>3.5021200000000001</v>
      </c>
      <c r="M65">
        <v>3.3515600000000001</v>
      </c>
      <c r="N65">
        <v>6.1790000000000003</v>
      </c>
      <c r="O65">
        <v>3.7042299999999999</v>
      </c>
      <c r="Q65">
        <v>5.0922200000000002</v>
      </c>
      <c r="R65">
        <v>5.6338200000000001</v>
      </c>
      <c r="S65">
        <v>3.99797</v>
      </c>
    </row>
    <row r="66" spans="1:19" x14ac:dyDescent="0.25">
      <c r="A66">
        <v>0.23988000000000001</v>
      </c>
      <c r="B66">
        <v>8.74817</v>
      </c>
      <c r="C66">
        <v>3.0649000000000002</v>
      </c>
      <c r="E66">
        <v>1.0334000000000001</v>
      </c>
      <c r="F66">
        <v>7.2613799999999999</v>
      </c>
      <c r="G66">
        <v>3.2380399999999998</v>
      </c>
      <c r="I66">
        <v>2.2307600000000001</v>
      </c>
      <c r="J66">
        <v>6.6069800000000001</v>
      </c>
      <c r="K66">
        <v>3.4869400000000002</v>
      </c>
      <c r="M66">
        <v>3.3723700000000001</v>
      </c>
      <c r="N66">
        <v>6.0244099999999996</v>
      </c>
      <c r="O66">
        <v>3.68207</v>
      </c>
      <c r="Q66">
        <v>5.1200400000000004</v>
      </c>
      <c r="R66">
        <v>5.5120199999999997</v>
      </c>
      <c r="S66">
        <v>3.9648099999999999</v>
      </c>
    </row>
    <row r="67" spans="1:19" x14ac:dyDescent="0.25">
      <c r="A67">
        <v>0.24215</v>
      </c>
      <c r="B67">
        <v>8.4469100000000008</v>
      </c>
      <c r="C67">
        <v>3.0630700000000002</v>
      </c>
      <c r="E67">
        <v>1.0414099999999999</v>
      </c>
      <c r="F67">
        <v>7.0353500000000002</v>
      </c>
      <c r="G67">
        <v>3.2310500000000002</v>
      </c>
      <c r="I67">
        <v>2.2462499999999999</v>
      </c>
      <c r="J67">
        <v>6.4213199999999997</v>
      </c>
      <c r="K67">
        <v>3.4718599999999999</v>
      </c>
      <c r="M67">
        <v>3.3931900000000002</v>
      </c>
      <c r="N67">
        <v>5.8752500000000003</v>
      </c>
      <c r="O67">
        <v>3.66011</v>
      </c>
      <c r="Q67">
        <v>5.1478700000000002</v>
      </c>
      <c r="R67">
        <v>5.3942600000000001</v>
      </c>
      <c r="S67">
        <v>3.93207</v>
      </c>
    </row>
    <row r="68" spans="1:19" x14ac:dyDescent="0.25">
      <c r="A68">
        <v>0.24443000000000001</v>
      </c>
      <c r="B68">
        <v>8.1494199999999992</v>
      </c>
      <c r="C68">
        <v>3.0612400000000002</v>
      </c>
      <c r="E68">
        <v>1.04942</v>
      </c>
      <c r="F68">
        <v>6.8171099999999996</v>
      </c>
      <c r="G68">
        <v>3.2240799999999998</v>
      </c>
      <c r="I68">
        <v>2.2617400000000001</v>
      </c>
      <c r="J68">
        <v>6.2424400000000002</v>
      </c>
      <c r="K68">
        <v>3.45688</v>
      </c>
      <c r="M68">
        <v>3.4140100000000002</v>
      </c>
      <c r="N68">
        <v>5.7314100000000003</v>
      </c>
      <c r="O68">
        <v>3.6383399999999999</v>
      </c>
      <c r="Q68">
        <v>5.1757</v>
      </c>
      <c r="R68">
        <v>5.2804099999999998</v>
      </c>
      <c r="S68">
        <v>3.8997199999999999</v>
      </c>
    </row>
    <row r="69" spans="1:19" x14ac:dyDescent="0.25">
      <c r="A69">
        <v>0.2467</v>
      </c>
      <c r="B69">
        <v>7.8579999999999997</v>
      </c>
      <c r="C69">
        <v>3.0594199999999998</v>
      </c>
      <c r="E69">
        <v>1.0574300000000001</v>
      </c>
      <c r="F69">
        <v>6.6068600000000002</v>
      </c>
      <c r="G69">
        <v>3.21713</v>
      </c>
      <c r="I69">
        <v>2.2772299999999999</v>
      </c>
      <c r="J69">
        <v>6.0702699999999998</v>
      </c>
      <c r="K69">
        <v>3.4419900000000001</v>
      </c>
      <c r="M69">
        <v>3.4348299999999998</v>
      </c>
      <c r="N69">
        <v>5.5927800000000003</v>
      </c>
      <c r="O69">
        <v>3.6167699999999998</v>
      </c>
      <c r="Q69">
        <v>5.2035200000000001</v>
      </c>
      <c r="R69">
        <v>5.1703700000000001</v>
      </c>
      <c r="S69">
        <v>3.8677800000000002</v>
      </c>
    </row>
    <row r="70" spans="1:19" x14ac:dyDescent="0.25">
      <c r="A70">
        <v>0.24898000000000001</v>
      </c>
      <c r="B70">
        <v>7.5744100000000003</v>
      </c>
      <c r="C70">
        <v>3.0575899999999998</v>
      </c>
      <c r="E70">
        <v>1.0654399999999999</v>
      </c>
      <c r="F70">
        <v>6.4046599999999998</v>
      </c>
      <c r="G70">
        <v>3.21021</v>
      </c>
      <c r="I70">
        <v>2.2927300000000002</v>
      </c>
      <c r="J70">
        <v>5.9047000000000001</v>
      </c>
      <c r="K70">
        <v>3.4272</v>
      </c>
      <c r="M70">
        <v>3.4556399999999998</v>
      </c>
      <c r="N70">
        <v>5.4592099999999997</v>
      </c>
      <c r="O70">
        <v>3.59538</v>
      </c>
      <c r="Q70">
        <v>5.2313499999999999</v>
      </c>
      <c r="R70">
        <v>5.0640200000000002</v>
      </c>
      <c r="S70">
        <v>3.83622</v>
      </c>
    </row>
    <row r="71" spans="1:19" x14ac:dyDescent="0.25">
      <c r="A71">
        <v>0.25124999999999997</v>
      </c>
      <c r="B71">
        <v>7.2999599999999996</v>
      </c>
      <c r="C71">
        <v>3.0557699999999999</v>
      </c>
      <c r="E71">
        <v>1.07345</v>
      </c>
      <c r="F71">
        <v>6.2105199999999998</v>
      </c>
      <c r="G71">
        <v>3.2033100000000001</v>
      </c>
      <c r="I71">
        <v>2.3082199999999999</v>
      </c>
      <c r="J71">
        <v>5.7456100000000001</v>
      </c>
      <c r="K71">
        <v>3.4125000000000001</v>
      </c>
      <c r="M71">
        <v>3.4764599999999999</v>
      </c>
      <c r="N71">
        <v>5.3305499999999997</v>
      </c>
      <c r="O71">
        <v>3.5741900000000002</v>
      </c>
      <c r="Q71">
        <v>5.2591700000000001</v>
      </c>
      <c r="R71">
        <v>4.9612499999999997</v>
      </c>
      <c r="S71">
        <v>3.80505</v>
      </c>
    </row>
    <row r="72" spans="1:19" x14ac:dyDescent="0.25">
      <c r="A72">
        <v>0.25352999999999998</v>
      </c>
      <c r="B72">
        <v>7.03552</v>
      </c>
      <c r="C72">
        <v>3.0539399999999999</v>
      </c>
      <c r="E72">
        <v>1.0814600000000001</v>
      </c>
      <c r="F72">
        <v>6.0243500000000001</v>
      </c>
      <c r="G72">
        <v>3.1964299999999999</v>
      </c>
      <c r="I72">
        <v>2.3237100000000002</v>
      </c>
      <c r="J72">
        <v>5.5928300000000002</v>
      </c>
      <c r="K72">
        <v>3.3978999999999999</v>
      </c>
      <c r="M72">
        <v>3.4972799999999999</v>
      </c>
      <c r="N72">
        <v>5.2066499999999998</v>
      </c>
      <c r="O72">
        <v>3.5531799999999998</v>
      </c>
      <c r="Q72">
        <v>5.2869999999999999</v>
      </c>
      <c r="R72">
        <v>4.8619199999999996</v>
      </c>
      <c r="S72">
        <v>3.7742599999999999</v>
      </c>
    </row>
    <row r="73" spans="1:19" x14ac:dyDescent="0.25">
      <c r="A73">
        <v>0.25580000000000003</v>
      </c>
      <c r="B73">
        <v>6.7816700000000001</v>
      </c>
      <c r="C73">
        <v>3.0521199999999999</v>
      </c>
      <c r="E73">
        <v>1.08948</v>
      </c>
      <c r="F73">
        <v>5.8460099999999997</v>
      </c>
      <c r="G73">
        <v>3.1895799999999999</v>
      </c>
      <c r="I73">
        <v>2.3391999999999999</v>
      </c>
      <c r="J73">
        <v>5.4461700000000004</v>
      </c>
      <c r="K73">
        <v>3.3833899999999999</v>
      </c>
      <c r="M73">
        <v>3.5180899999999999</v>
      </c>
      <c r="N73">
        <v>5.0873600000000003</v>
      </c>
      <c r="O73">
        <v>3.5323600000000002</v>
      </c>
      <c r="Q73">
        <v>5.3148299999999997</v>
      </c>
      <c r="R73">
        <v>4.7659399999999996</v>
      </c>
      <c r="S73">
        <v>3.7438400000000001</v>
      </c>
    </row>
    <row r="74" spans="1:19" x14ac:dyDescent="0.25">
      <c r="A74">
        <v>0.25807999999999998</v>
      </c>
      <c r="B74">
        <v>6.5387000000000004</v>
      </c>
      <c r="C74">
        <v>3.0503100000000001</v>
      </c>
      <c r="E74">
        <v>1.0974900000000001</v>
      </c>
      <c r="F74">
        <v>5.6752900000000004</v>
      </c>
      <c r="G74">
        <v>3.1827399999999999</v>
      </c>
      <c r="I74">
        <v>2.3546900000000002</v>
      </c>
      <c r="J74">
        <v>5.3054399999999999</v>
      </c>
      <c r="K74">
        <v>3.3689800000000001</v>
      </c>
      <c r="M74">
        <v>3.53891</v>
      </c>
      <c r="N74">
        <v>4.9725099999999998</v>
      </c>
      <c r="O74">
        <v>3.51172</v>
      </c>
      <c r="Q74">
        <v>5.3426499999999999</v>
      </c>
      <c r="R74">
        <v>4.6731699999999998</v>
      </c>
      <c r="S74">
        <v>3.7137799999999999</v>
      </c>
    </row>
    <row r="75" spans="1:19" x14ac:dyDescent="0.25">
      <c r="A75">
        <v>0.26035000000000003</v>
      </c>
      <c r="B75">
        <v>6.3067299999999999</v>
      </c>
      <c r="C75">
        <v>3.0484900000000001</v>
      </c>
      <c r="E75">
        <v>1.1054999999999999</v>
      </c>
      <c r="F75">
        <v>5.5119899999999999</v>
      </c>
      <c r="G75">
        <v>3.1759300000000001</v>
      </c>
      <c r="I75">
        <v>2.37018</v>
      </c>
      <c r="J75">
        <v>5.1704299999999996</v>
      </c>
      <c r="K75">
        <v>3.3546499999999999</v>
      </c>
      <c r="M75">
        <v>3.5597300000000001</v>
      </c>
      <c r="N75">
        <v>4.8619300000000001</v>
      </c>
      <c r="O75">
        <v>3.49126</v>
      </c>
      <c r="Q75">
        <v>5.3704799999999997</v>
      </c>
      <c r="R75">
        <v>4.58352</v>
      </c>
      <c r="S75">
        <v>3.6840899999999999</v>
      </c>
    </row>
    <row r="76" spans="1:19" x14ac:dyDescent="0.25">
      <c r="A76">
        <v>0.26262999999999997</v>
      </c>
      <c r="B76">
        <v>6.0856599999999998</v>
      </c>
      <c r="C76">
        <v>3.0466700000000002</v>
      </c>
      <c r="E76">
        <v>1.11351</v>
      </c>
      <c r="F76">
        <v>5.3558500000000002</v>
      </c>
      <c r="G76">
        <v>3.1691400000000001</v>
      </c>
      <c r="I76">
        <v>2.3856700000000002</v>
      </c>
      <c r="J76">
        <v>5.04094</v>
      </c>
      <c r="K76">
        <v>3.3404199999999999</v>
      </c>
      <c r="M76">
        <v>3.5805400000000001</v>
      </c>
      <c r="N76">
        <v>4.7554800000000004</v>
      </c>
      <c r="O76">
        <v>3.47098</v>
      </c>
      <c r="Q76">
        <v>5.3983100000000004</v>
      </c>
      <c r="R76">
        <v>4.4968599999999999</v>
      </c>
      <c r="S76">
        <v>3.6547499999999999</v>
      </c>
    </row>
    <row r="77" spans="1:19" x14ac:dyDescent="0.25">
      <c r="A77">
        <v>0.26490999999999998</v>
      </c>
      <c r="B77">
        <v>5.8753099999999998</v>
      </c>
      <c r="C77">
        <v>3.0448599999999999</v>
      </c>
      <c r="E77">
        <v>1.1215200000000001</v>
      </c>
      <c r="F77">
        <v>5.2066100000000004</v>
      </c>
      <c r="G77">
        <v>3.1623700000000001</v>
      </c>
      <c r="I77">
        <v>2.40117</v>
      </c>
      <c r="J77">
        <v>4.9167399999999999</v>
      </c>
      <c r="K77">
        <v>3.3262800000000001</v>
      </c>
      <c r="M77">
        <v>3.6013600000000001</v>
      </c>
      <c r="N77">
        <v>4.6529999999999996</v>
      </c>
      <c r="O77">
        <v>3.4508800000000002</v>
      </c>
      <c r="Q77">
        <v>5.4261299999999997</v>
      </c>
      <c r="R77">
        <v>4.4130900000000004</v>
      </c>
      <c r="S77">
        <v>3.6257600000000001</v>
      </c>
    </row>
    <row r="78" spans="1:19" x14ac:dyDescent="0.25">
      <c r="A78">
        <v>0.26717999999999997</v>
      </c>
      <c r="B78">
        <v>5.6754100000000003</v>
      </c>
      <c r="C78">
        <v>3.04305</v>
      </c>
      <c r="E78">
        <v>1.1295299999999999</v>
      </c>
      <c r="F78">
        <v>5.0640000000000001</v>
      </c>
      <c r="G78">
        <v>3.1556299999999999</v>
      </c>
      <c r="I78">
        <v>2.4166599999999998</v>
      </c>
      <c r="J78">
        <v>4.7976200000000002</v>
      </c>
      <c r="K78">
        <v>3.31223</v>
      </c>
      <c r="M78">
        <v>3.6221800000000002</v>
      </c>
      <c r="N78">
        <v>4.5543199999999997</v>
      </c>
      <c r="O78">
        <v>3.4309500000000002</v>
      </c>
      <c r="Q78">
        <v>5.4539600000000004</v>
      </c>
      <c r="R78">
        <v>4.3320999999999996</v>
      </c>
      <c r="S78">
        <v>3.5971199999999999</v>
      </c>
    </row>
    <row r="79" spans="1:19" x14ac:dyDescent="0.25">
      <c r="A79">
        <v>0.26945999999999998</v>
      </c>
      <c r="B79">
        <v>5.4855799999999997</v>
      </c>
      <c r="C79">
        <v>3.0412300000000001</v>
      </c>
      <c r="E79">
        <v>1.13754</v>
      </c>
      <c r="F79">
        <v>4.9277300000000004</v>
      </c>
      <c r="G79">
        <v>3.1488999999999998</v>
      </c>
      <c r="I79">
        <v>2.43215</v>
      </c>
      <c r="J79">
        <v>4.68337</v>
      </c>
      <c r="K79">
        <v>3.29827</v>
      </c>
      <c r="M79">
        <v>3.6429999999999998</v>
      </c>
      <c r="N79">
        <v>4.4592900000000002</v>
      </c>
      <c r="O79">
        <v>3.4111899999999999</v>
      </c>
      <c r="Q79">
        <v>5.4817799999999997</v>
      </c>
      <c r="R79">
        <v>4.2537900000000004</v>
      </c>
      <c r="S79">
        <v>3.56881</v>
      </c>
    </row>
    <row r="80" spans="1:19" x14ac:dyDescent="0.25">
      <c r="A80">
        <v>0.27173000000000003</v>
      </c>
      <c r="B80">
        <v>5.3054500000000004</v>
      </c>
      <c r="C80">
        <v>3.0394299999999999</v>
      </c>
      <c r="E80">
        <v>1.1455500000000001</v>
      </c>
      <c r="F80">
        <v>4.7975399999999997</v>
      </c>
      <c r="G80">
        <v>3.1421999999999999</v>
      </c>
      <c r="I80">
        <v>2.4476399999999998</v>
      </c>
      <c r="J80">
        <v>4.5737899999999998</v>
      </c>
      <c r="K80">
        <v>3.2843900000000001</v>
      </c>
      <c r="M80">
        <v>3.6638099999999998</v>
      </c>
      <c r="N80">
        <v>4.3677700000000002</v>
      </c>
      <c r="O80">
        <v>3.3915999999999999</v>
      </c>
      <c r="Q80">
        <v>5.5096100000000003</v>
      </c>
      <c r="R80">
        <v>4.1780600000000003</v>
      </c>
      <c r="S80">
        <v>3.5408300000000001</v>
      </c>
    </row>
    <row r="81" spans="1:19" x14ac:dyDescent="0.25">
      <c r="A81">
        <v>0.27400999999999998</v>
      </c>
      <c r="B81">
        <v>5.1345799999999997</v>
      </c>
      <c r="C81">
        <v>3.03762</v>
      </c>
      <c r="E81">
        <v>1.1535599999999999</v>
      </c>
      <c r="F81">
        <v>4.6731499999999997</v>
      </c>
      <c r="G81">
        <v>3.13551</v>
      </c>
      <c r="I81">
        <v>2.46313</v>
      </c>
      <c r="J81">
        <v>4.4686700000000004</v>
      </c>
      <c r="K81">
        <v>3.2706</v>
      </c>
      <c r="M81">
        <v>3.6846299999999998</v>
      </c>
      <c r="N81">
        <v>4.2796200000000004</v>
      </c>
      <c r="O81">
        <v>3.3721800000000002</v>
      </c>
      <c r="Q81">
        <v>5.5374400000000001</v>
      </c>
      <c r="R81">
        <v>4.1048099999999996</v>
      </c>
      <c r="S81">
        <v>3.5131899999999998</v>
      </c>
    </row>
    <row r="82" spans="1:19" x14ac:dyDescent="0.25">
      <c r="A82">
        <v>0.27628000000000003</v>
      </c>
      <c r="B82">
        <v>4.97255</v>
      </c>
      <c r="C82">
        <v>3.0358100000000001</v>
      </c>
      <c r="E82">
        <v>1.16157</v>
      </c>
      <c r="F82">
        <v>4.5542800000000003</v>
      </c>
      <c r="G82">
        <v>3.1288499999999999</v>
      </c>
      <c r="I82">
        <v>2.4786199999999998</v>
      </c>
      <c r="J82">
        <v>4.3678100000000004</v>
      </c>
      <c r="K82">
        <v>3.2568999999999999</v>
      </c>
      <c r="M82">
        <v>3.7054499999999999</v>
      </c>
      <c r="N82">
        <v>4.19468</v>
      </c>
      <c r="O82">
        <v>3.3529300000000002</v>
      </c>
      <c r="Q82">
        <v>5.5652600000000003</v>
      </c>
      <c r="R82">
        <v>4.0339499999999999</v>
      </c>
      <c r="S82">
        <v>3.4858600000000002</v>
      </c>
    </row>
    <row r="83" spans="1:19" x14ac:dyDescent="0.25">
      <c r="A83">
        <v>0.27855999999999997</v>
      </c>
      <c r="B83">
        <v>4.8189099999999998</v>
      </c>
      <c r="C83">
        <v>3.0340099999999999</v>
      </c>
      <c r="E83">
        <v>1.1695800000000001</v>
      </c>
      <c r="F83">
        <v>4.4406800000000004</v>
      </c>
      <c r="G83">
        <v>3.1222099999999999</v>
      </c>
      <c r="I83">
        <v>2.49411</v>
      </c>
      <c r="J83">
        <v>4.2710100000000004</v>
      </c>
      <c r="K83">
        <v>3.24329</v>
      </c>
      <c r="M83">
        <v>3.7262599999999999</v>
      </c>
      <c r="N83">
        <v>4.1128400000000003</v>
      </c>
      <c r="O83">
        <v>3.3338399999999999</v>
      </c>
      <c r="Q83">
        <v>5.5930900000000001</v>
      </c>
      <c r="R83">
        <v>3.9653800000000001</v>
      </c>
      <c r="S83">
        <v>3.45885</v>
      </c>
    </row>
    <row r="84" spans="1:19" x14ac:dyDescent="0.25">
      <c r="A84">
        <v>0.28083000000000002</v>
      </c>
      <c r="B84">
        <v>4.6732300000000002</v>
      </c>
      <c r="C84">
        <v>3.0322</v>
      </c>
      <c r="E84">
        <v>1.1775899999999999</v>
      </c>
      <c r="F84">
        <v>4.3320800000000004</v>
      </c>
      <c r="G84">
        <v>3.1156000000000001</v>
      </c>
      <c r="I84">
        <v>2.5096099999999999</v>
      </c>
      <c r="J84">
        <v>4.1780999999999997</v>
      </c>
      <c r="K84">
        <v>3.2297600000000002</v>
      </c>
      <c r="M84">
        <v>3.74708</v>
      </c>
      <c r="N84">
        <v>4.0339600000000004</v>
      </c>
      <c r="O84">
        <v>3.3149099999999998</v>
      </c>
      <c r="Q84">
        <v>5.6209199999999999</v>
      </c>
      <c r="R84">
        <v>3.8990200000000002</v>
      </c>
      <c r="S84">
        <v>3.4321600000000001</v>
      </c>
    </row>
    <row r="85" spans="1:19" x14ac:dyDescent="0.25">
      <c r="A85">
        <v>0.28310999999999997</v>
      </c>
      <c r="B85">
        <v>4.5350599999999996</v>
      </c>
      <c r="C85">
        <v>3.0304000000000002</v>
      </c>
      <c r="E85">
        <v>1.1856100000000001</v>
      </c>
      <c r="F85">
        <v>4.2282500000000001</v>
      </c>
      <c r="G85">
        <v>3.109</v>
      </c>
      <c r="I85">
        <v>2.5251000000000001</v>
      </c>
      <c r="J85">
        <v>4.0888999999999998</v>
      </c>
      <c r="K85">
        <v>3.21631</v>
      </c>
      <c r="M85">
        <v>3.7679</v>
      </c>
      <c r="N85">
        <v>3.95791</v>
      </c>
      <c r="O85">
        <v>3.2961399999999998</v>
      </c>
      <c r="Q85">
        <v>5.6487400000000001</v>
      </c>
      <c r="R85">
        <v>3.8347799999999999</v>
      </c>
      <c r="S85">
        <v>3.40577</v>
      </c>
    </row>
    <row r="86" spans="1:19" x14ac:dyDescent="0.25">
      <c r="A86">
        <v>0.28538000000000002</v>
      </c>
      <c r="B86">
        <v>4.4040100000000004</v>
      </c>
      <c r="C86">
        <v>3.0286</v>
      </c>
      <c r="E86">
        <v>1.1936199999999999</v>
      </c>
      <c r="F86">
        <v>4.1289400000000001</v>
      </c>
      <c r="G86">
        <v>3.10242</v>
      </c>
      <c r="I86">
        <v>2.5405899999999999</v>
      </c>
      <c r="J86">
        <v>4.0032300000000003</v>
      </c>
      <c r="K86">
        <v>3.20295</v>
      </c>
      <c r="M86">
        <v>3.7887200000000001</v>
      </c>
      <c r="N86">
        <v>3.8845700000000001</v>
      </c>
      <c r="O86">
        <v>3.2775400000000001</v>
      </c>
      <c r="Q86">
        <v>5.6765699999999999</v>
      </c>
      <c r="R86">
        <v>3.77258</v>
      </c>
      <c r="S86">
        <v>3.3796900000000001</v>
      </c>
    </row>
    <row r="87" spans="1:19" x14ac:dyDescent="0.25">
      <c r="A87">
        <v>0.28766000000000003</v>
      </c>
      <c r="B87">
        <v>4.2796500000000002</v>
      </c>
      <c r="C87">
        <v>3.0268099999999998</v>
      </c>
      <c r="E87">
        <v>1.20163</v>
      </c>
      <c r="F87">
        <v>4.0339299999999998</v>
      </c>
      <c r="G87">
        <v>3.0958600000000001</v>
      </c>
      <c r="I87">
        <v>2.5560800000000001</v>
      </c>
      <c r="J87">
        <v>3.9209299999999998</v>
      </c>
      <c r="K87">
        <v>3.18967</v>
      </c>
      <c r="M87">
        <v>3.8095300000000001</v>
      </c>
      <c r="N87">
        <v>3.8138299999999998</v>
      </c>
      <c r="O87">
        <v>3.25909</v>
      </c>
      <c r="Q87">
        <v>5.7043999999999997</v>
      </c>
      <c r="R87">
        <v>3.7123499999999998</v>
      </c>
      <c r="S87">
        <v>3.3538999999999999</v>
      </c>
    </row>
    <row r="88" spans="1:19" x14ac:dyDescent="0.25">
      <c r="A88">
        <v>0.28993000000000002</v>
      </c>
      <c r="B88">
        <v>4.1616200000000001</v>
      </c>
      <c r="C88">
        <v>3.02501</v>
      </c>
      <c r="E88">
        <v>1.20964</v>
      </c>
      <c r="F88">
        <v>3.9430000000000001</v>
      </c>
      <c r="G88">
        <v>3.0893299999999999</v>
      </c>
      <c r="I88">
        <v>2.5715699999999999</v>
      </c>
      <c r="J88">
        <v>3.84185</v>
      </c>
      <c r="K88">
        <v>3.1764700000000001</v>
      </c>
      <c r="M88">
        <v>3.8303500000000001</v>
      </c>
      <c r="N88">
        <v>3.7455799999999999</v>
      </c>
      <c r="O88">
        <v>3.2407900000000001</v>
      </c>
      <c r="Q88">
        <v>5.7322199999999999</v>
      </c>
      <c r="R88">
        <v>3.65401</v>
      </c>
      <c r="S88">
        <v>3.3284099999999999</v>
      </c>
    </row>
    <row r="89" spans="1:19" x14ac:dyDescent="0.25">
      <c r="A89">
        <v>0.29221000000000003</v>
      </c>
      <c r="B89">
        <v>4.0495299999999999</v>
      </c>
      <c r="C89">
        <v>3.0232100000000002</v>
      </c>
      <c r="E89">
        <v>1.2176499999999999</v>
      </c>
      <c r="F89">
        <v>3.8559399999999999</v>
      </c>
      <c r="G89">
        <v>3.0828199999999999</v>
      </c>
      <c r="I89">
        <v>2.5870600000000001</v>
      </c>
      <c r="J89">
        <v>3.7658299999999998</v>
      </c>
      <c r="K89">
        <v>3.1633599999999999</v>
      </c>
      <c r="M89">
        <v>3.8511700000000002</v>
      </c>
      <c r="N89">
        <v>3.6797200000000001</v>
      </c>
      <c r="O89">
        <v>3.2226499999999998</v>
      </c>
      <c r="Q89">
        <v>5.7600499999999997</v>
      </c>
      <c r="R89">
        <v>3.59748</v>
      </c>
      <c r="S89">
        <v>3.30321</v>
      </c>
    </row>
    <row r="90" spans="1:19" x14ac:dyDescent="0.25">
      <c r="A90">
        <v>0.29448000000000002</v>
      </c>
      <c r="B90">
        <v>3.9430499999999999</v>
      </c>
      <c r="C90">
        <v>3.02142</v>
      </c>
      <c r="E90">
        <v>1.22566</v>
      </c>
      <c r="F90">
        <v>3.77257</v>
      </c>
      <c r="G90">
        <v>3.0763199999999999</v>
      </c>
      <c r="I90">
        <v>2.6025499999999999</v>
      </c>
      <c r="J90">
        <v>3.6927300000000001</v>
      </c>
      <c r="K90">
        <v>3.1503299999999999</v>
      </c>
      <c r="M90">
        <v>3.8719800000000002</v>
      </c>
      <c r="N90">
        <v>3.6161300000000001</v>
      </c>
      <c r="O90">
        <v>3.2046600000000001</v>
      </c>
      <c r="Q90">
        <v>5.7878699999999998</v>
      </c>
      <c r="R90">
        <v>3.5427</v>
      </c>
      <c r="S90">
        <v>3.2782900000000001</v>
      </c>
    </row>
    <row r="91" spans="1:19" x14ac:dyDescent="0.25">
      <c r="A91">
        <v>0.29676000000000002</v>
      </c>
      <c r="B91">
        <v>3.84185</v>
      </c>
      <c r="C91">
        <v>3.0196299999999998</v>
      </c>
      <c r="E91">
        <v>1.23367</v>
      </c>
      <c r="F91">
        <v>3.6926800000000002</v>
      </c>
      <c r="G91">
        <v>3.0698500000000002</v>
      </c>
      <c r="I91">
        <v>2.6180400000000001</v>
      </c>
      <c r="J91">
        <v>3.62242</v>
      </c>
      <c r="K91">
        <v>3.1373700000000002</v>
      </c>
      <c r="M91">
        <v>3.8927999999999998</v>
      </c>
      <c r="N91">
        <v>3.5547399999999998</v>
      </c>
      <c r="O91">
        <v>3.18682</v>
      </c>
      <c r="Q91">
        <v>5.8156999999999996</v>
      </c>
      <c r="R91">
        <v>3.4896099999999999</v>
      </c>
      <c r="S91">
        <v>3.25366</v>
      </c>
    </row>
    <row r="92" spans="1:19" x14ac:dyDescent="0.25">
      <c r="A92">
        <v>0.29903000000000002</v>
      </c>
      <c r="B92">
        <v>3.7456100000000001</v>
      </c>
      <c r="C92">
        <v>3.0178400000000001</v>
      </c>
      <c r="E92">
        <v>1.2416799999999999</v>
      </c>
      <c r="F92">
        <v>3.6161099999999999</v>
      </c>
      <c r="G92">
        <v>3.0634000000000001</v>
      </c>
      <c r="I92">
        <v>2.63354</v>
      </c>
      <c r="J92">
        <v>3.5547599999999999</v>
      </c>
      <c r="K92">
        <v>3.1244999999999998</v>
      </c>
      <c r="M92">
        <v>3.9136199999999999</v>
      </c>
      <c r="N92">
        <v>3.4954299999999998</v>
      </c>
      <c r="O92">
        <v>3.16913</v>
      </c>
      <c r="Q92">
        <v>5.8435300000000003</v>
      </c>
      <c r="R92">
        <v>3.4381300000000001</v>
      </c>
      <c r="S92">
        <v>3.2292999999999998</v>
      </c>
    </row>
    <row r="93" spans="1:19" x14ac:dyDescent="0.25">
      <c r="A93">
        <v>0.30131000000000002</v>
      </c>
      <c r="B93">
        <v>3.6540400000000002</v>
      </c>
      <c r="C93">
        <v>3.0160499999999999</v>
      </c>
      <c r="E93">
        <v>1.24969</v>
      </c>
      <c r="F93">
        <v>3.5426899999999999</v>
      </c>
      <c r="G93">
        <v>3.0569600000000001</v>
      </c>
      <c r="I93">
        <v>2.6490300000000002</v>
      </c>
      <c r="J93">
        <v>3.4896400000000001</v>
      </c>
      <c r="K93">
        <v>3.11171</v>
      </c>
      <c r="M93">
        <v>3.9344399999999999</v>
      </c>
      <c r="N93">
        <v>3.4381300000000001</v>
      </c>
      <c r="O93">
        <v>3.1515900000000001</v>
      </c>
      <c r="Q93">
        <v>5.8713499999999996</v>
      </c>
      <c r="R93">
        <v>3.3881999999999999</v>
      </c>
      <c r="S93">
        <v>3.2052100000000001</v>
      </c>
    </row>
    <row r="94" spans="1:19" x14ac:dyDescent="0.25">
      <c r="A94">
        <v>0.30358000000000002</v>
      </c>
      <c r="B94">
        <v>3.5668700000000002</v>
      </c>
      <c r="C94">
        <v>3.0142600000000002</v>
      </c>
      <c r="E94">
        <v>1.2577</v>
      </c>
      <c r="F94">
        <v>3.4722599999999999</v>
      </c>
      <c r="G94">
        <v>3.0505499999999999</v>
      </c>
      <c r="I94">
        <v>2.66452</v>
      </c>
      <c r="J94">
        <v>3.42693</v>
      </c>
      <c r="K94">
        <v>3.0989900000000001</v>
      </c>
      <c r="M94">
        <v>3.9552499999999999</v>
      </c>
      <c r="N94">
        <v>3.3827600000000002</v>
      </c>
      <c r="O94">
        <v>3.1341899999999998</v>
      </c>
      <c r="Q94">
        <v>5.8991800000000003</v>
      </c>
      <c r="R94">
        <v>3.3397800000000002</v>
      </c>
      <c r="S94">
        <v>3.1814</v>
      </c>
    </row>
    <row r="95" spans="1:19" x14ac:dyDescent="0.25">
      <c r="A95">
        <v>0.30586000000000002</v>
      </c>
      <c r="B95">
        <v>3.4838399999999998</v>
      </c>
      <c r="C95">
        <v>3.01248</v>
      </c>
      <c r="E95">
        <v>1.2657099999999999</v>
      </c>
      <c r="F95">
        <v>3.4046599999999998</v>
      </c>
      <c r="G95">
        <v>3.0441600000000002</v>
      </c>
      <c r="I95">
        <v>2.6800099999999998</v>
      </c>
      <c r="J95">
        <v>3.36653</v>
      </c>
      <c r="K95">
        <v>3.0863499999999999</v>
      </c>
      <c r="M95">
        <v>3.97607</v>
      </c>
      <c r="N95">
        <v>3.3292199999999998</v>
      </c>
      <c r="O95">
        <v>3.11694</v>
      </c>
      <c r="Q95">
        <v>5.9270100000000001</v>
      </c>
      <c r="R95">
        <v>3.2927900000000001</v>
      </c>
      <c r="S95">
        <v>3.1578400000000002</v>
      </c>
    </row>
    <row r="96" spans="1:19" x14ac:dyDescent="0.25">
      <c r="A96">
        <v>0.30814000000000002</v>
      </c>
      <c r="B96">
        <v>3.4047000000000001</v>
      </c>
      <c r="C96">
        <v>3.0106999999999999</v>
      </c>
      <c r="E96">
        <v>1.27372</v>
      </c>
      <c r="F96">
        <v>3.3397600000000001</v>
      </c>
      <c r="G96">
        <v>3.0377900000000002</v>
      </c>
      <c r="I96">
        <v>2.6955</v>
      </c>
      <c r="J96">
        <v>3.3083200000000001</v>
      </c>
      <c r="K96">
        <v>3.0737899999999998</v>
      </c>
      <c r="M96">
        <v>3.9968900000000001</v>
      </c>
      <c r="N96">
        <v>3.27745</v>
      </c>
      <c r="O96">
        <v>3.0998299999999999</v>
      </c>
      <c r="Q96">
        <v>5.9548300000000003</v>
      </c>
      <c r="R96">
        <v>3.2471899999999998</v>
      </c>
      <c r="S96">
        <v>3.1345499999999999</v>
      </c>
    </row>
    <row r="97" spans="1:19" x14ac:dyDescent="0.25">
      <c r="A97">
        <v>0.31041000000000002</v>
      </c>
      <c r="B97">
        <v>3.32924</v>
      </c>
      <c r="C97">
        <v>3.0089100000000002</v>
      </c>
      <c r="E97">
        <v>1.2817400000000001</v>
      </c>
      <c r="F97">
        <v>3.2774299999999998</v>
      </c>
      <c r="G97">
        <v>3.0314299999999998</v>
      </c>
      <c r="I97">
        <v>2.7109899999999998</v>
      </c>
      <c r="J97">
        <v>3.2522199999999999</v>
      </c>
      <c r="K97">
        <v>3.0613100000000002</v>
      </c>
      <c r="M97">
        <v>4.0176999999999996</v>
      </c>
      <c r="N97">
        <v>3.2273700000000001</v>
      </c>
      <c r="O97">
        <v>3.0828500000000001</v>
      </c>
      <c r="Q97">
        <v>5.9826600000000001</v>
      </c>
      <c r="R97">
        <v>3.2029299999999998</v>
      </c>
      <c r="S97">
        <v>3.11151</v>
      </c>
    </row>
    <row r="98" spans="1:19" x14ac:dyDescent="0.25">
      <c r="A98">
        <v>0.31269000000000002</v>
      </c>
      <c r="B98">
        <v>3.2572299999999998</v>
      </c>
      <c r="C98">
        <v>3.0071300000000001</v>
      </c>
      <c r="E98">
        <v>1.28975</v>
      </c>
      <c r="F98">
        <v>3.21753</v>
      </c>
      <c r="G98">
        <v>3.0251000000000001</v>
      </c>
      <c r="I98">
        <v>2.72648</v>
      </c>
      <c r="J98">
        <v>3.1981199999999999</v>
      </c>
      <c r="K98">
        <v>3.0489000000000002</v>
      </c>
      <c r="M98">
        <v>4.0385200000000001</v>
      </c>
      <c r="N98">
        <v>3.1789100000000001</v>
      </c>
      <c r="O98">
        <v>3.06602</v>
      </c>
      <c r="Q98">
        <v>6.0104800000000003</v>
      </c>
      <c r="R98">
        <v>3.1599499999999998</v>
      </c>
      <c r="S98">
        <v>3.08873</v>
      </c>
    </row>
    <row r="99" spans="1:19" x14ac:dyDescent="0.25">
      <c r="A99">
        <v>0.31496000000000002</v>
      </c>
      <c r="B99">
        <v>3.1884899999999998</v>
      </c>
      <c r="C99">
        <v>3.00535</v>
      </c>
      <c r="E99">
        <v>1.29776</v>
      </c>
      <c r="F99">
        <v>3.1599400000000002</v>
      </c>
      <c r="G99">
        <v>3.0187900000000001</v>
      </c>
      <c r="I99">
        <v>2.7419799999999999</v>
      </c>
      <c r="J99">
        <v>3.1459299999999999</v>
      </c>
      <c r="K99">
        <v>3.0365600000000001</v>
      </c>
      <c r="M99">
        <v>4.0593399999999997</v>
      </c>
      <c r="N99">
        <v>3.1320000000000001</v>
      </c>
      <c r="O99">
        <v>3.0493199999999998</v>
      </c>
      <c r="Q99">
        <v>6.0383100000000001</v>
      </c>
      <c r="R99">
        <v>3.11822</v>
      </c>
      <c r="S99">
        <v>3.0661999999999998</v>
      </c>
    </row>
    <row r="100" spans="1:19" x14ac:dyDescent="0.25">
      <c r="A100">
        <v>0.31724000000000002</v>
      </c>
      <c r="B100">
        <v>3.1228199999999999</v>
      </c>
      <c r="C100">
        <v>3.0035799999999999</v>
      </c>
      <c r="E100">
        <v>1.3057700000000001</v>
      </c>
      <c r="F100">
        <v>3.1045600000000002</v>
      </c>
      <c r="G100">
        <v>3.0125000000000002</v>
      </c>
      <c r="I100">
        <v>2.7574700000000001</v>
      </c>
      <c r="J100">
        <v>3.0955699999999999</v>
      </c>
      <c r="K100">
        <v>3.0243099999999998</v>
      </c>
      <c r="M100">
        <v>4.0801600000000002</v>
      </c>
      <c r="N100">
        <v>3.0865900000000002</v>
      </c>
      <c r="O100">
        <v>3.0327700000000002</v>
      </c>
      <c r="Q100">
        <v>6.0661399999999999</v>
      </c>
      <c r="R100">
        <v>3.0776699999999999</v>
      </c>
      <c r="S100">
        <v>3.0439099999999999</v>
      </c>
    </row>
    <row r="101" spans="1:19" x14ac:dyDescent="0.25">
      <c r="A101">
        <v>0.31951000000000002</v>
      </c>
      <c r="B101">
        <v>3.0600499999999999</v>
      </c>
      <c r="C101">
        <v>3.0017999999999998</v>
      </c>
      <c r="E101">
        <v>1.3137799999999999</v>
      </c>
      <c r="F101">
        <v>3.0512800000000002</v>
      </c>
      <c r="G101">
        <v>3.0062199999999999</v>
      </c>
      <c r="I101">
        <v>2.7729599999999999</v>
      </c>
      <c r="J101">
        <v>3.0469599999999999</v>
      </c>
      <c r="K101">
        <v>3.0121199999999999</v>
      </c>
      <c r="M101">
        <v>4.1009700000000002</v>
      </c>
      <c r="N101">
        <v>3.0426099999999998</v>
      </c>
      <c r="O101">
        <v>3.01634</v>
      </c>
      <c r="Q101">
        <v>6.09396</v>
      </c>
      <c r="R101">
        <v>3.0382799999999999</v>
      </c>
      <c r="S101">
        <v>3.0218600000000002</v>
      </c>
    </row>
    <row r="102" spans="1:19" x14ac:dyDescent="0.25">
      <c r="A102">
        <v>0.32179000000000002</v>
      </c>
      <c r="B102">
        <v>3.0000200000000001</v>
      </c>
      <c r="C102">
        <v>3.0000300000000002</v>
      </c>
      <c r="E102">
        <v>1.32179</v>
      </c>
      <c r="F102">
        <v>2.9999799999999999</v>
      </c>
      <c r="G102">
        <v>2.9999699999999998</v>
      </c>
      <c r="I102">
        <v>2.7884500000000001</v>
      </c>
      <c r="J102">
        <v>3.0000200000000001</v>
      </c>
      <c r="K102">
        <v>3.0000100000000001</v>
      </c>
      <c r="M102">
        <v>4.1217899999999998</v>
      </c>
      <c r="N102">
        <v>3</v>
      </c>
      <c r="O102">
        <v>3.0000499999999999</v>
      </c>
      <c r="Q102">
        <v>6.1217899999999998</v>
      </c>
      <c r="R102">
        <v>2.9999899999999999</v>
      </c>
      <c r="S102">
        <v>3.0000599999999999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Figure_2b</vt:lpstr>
      <vt:lpstr>Figure_3c</vt:lpstr>
      <vt:lpstr>Figure_4a</vt:lpstr>
      <vt:lpstr>Figure_S6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WenLong Xu</dc:creator>
  <cp:lastModifiedBy>WenLong Xu</cp:lastModifiedBy>
  <dcterms:created xsi:type="dcterms:W3CDTF">2015-06-05T18:19:34Z</dcterms:created>
  <dcterms:modified xsi:type="dcterms:W3CDTF">2025-09-04T09:25:57Z</dcterms:modified>
</cp:coreProperties>
</file>